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dicateurs" sheetId="2" state="visible" r:id="rId2"/>
    <sheet xmlns:r="http://schemas.openxmlformats.org/officeDocument/2006/relationships" name="Patrimoine" sheetId="3" state="visible" r:id="rId3"/>
    <sheet xmlns:r="http://schemas.openxmlformats.org/officeDocument/2006/relationships" name="SCI" sheetId="4" state="visible" r:id="rId4"/>
    <sheet xmlns:r="http://schemas.openxmlformats.org/officeDocument/2006/relationships" name="Comptes Courants" sheetId="5" state="visible" r:id="rId5"/>
    <sheet xmlns:r="http://schemas.openxmlformats.org/officeDocument/2006/relationships" name="CAPEX Détail" sheetId="6" state="visible" r:id="rId6"/>
    <sheet xmlns:r="http://schemas.openxmlformats.org/officeDocument/2006/relationships" name="CAPEX Synthèse" sheetId="7" state="visible" r:id="rId7"/>
    <sheet xmlns:r="http://schemas.openxmlformats.org/officeDocument/2006/relationships" name="Contrô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666666"/>
    </font>
    <font>
      <b val="1"/>
      <sz val="12"/>
    </font>
    <font>
      <b val="1"/>
    </font>
    <font>
      <b val="1"/>
      <color rgb="00FFFFFF"/>
      <sz val="11"/>
    </font>
    <font>
      <b val="1"/>
      <color rgb="002E7D32"/>
      <sz val="14"/>
    </font>
    <font>
      <b val="1"/>
      <color rgb="002E7D32"/>
    </font>
    <font>
      <b val="1"/>
      <sz val="11"/>
    </font>
    <font>
      <b val="1"/>
      <color rgb="001F4E79"/>
      <sz val="14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D9D9D9"/>
        <bgColor rgb="00D9D9D9"/>
      </patternFill>
    </fill>
    <fill>
      <patternFill patternType="solid">
        <fgColor rgb="00E2EFDA"/>
        <bgColor rgb="00E2EFDA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5" fillId="6" borderId="1" applyAlignment="1" pivotButton="0" quotePrefix="0" xfId="0">
      <alignment horizontal="center" vertical="center" wrapText="1"/>
    </xf>
    <xf numFmtId="3" fontId="0" fillId="7" borderId="1" pivotButton="0" quotePrefix="0" xfId="0"/>
    <xf numFmtId="0" fontId="0" fillId="7" borderId="1" pivotButton="0" quotePrefix="0" xfId="0"/>
    <xf numFmtId="3" fontId="4" fillId="7" borderId="1" pivotButton="0" quotePrefix="0" xfId="0"/>
    <xf numFmtId="0" fontId="6" fillId="0" borderId="0" applyAlignment="1" pivotButton="0" quotePrefix="0" xfId="0">
      <alignment horizontal="center"/>
    </xf>
    <xf numFmtId="3" fontId="7" fillId="0" borderId="1" pivotButton="0" quotePrefix="0" xfId="0"/>
    <xf numFmtId="0" fontId="0" fillId="8" borderId="0" pivotButton="0" quotePrefix="0" xfId="0"/>
    <xf numFmtId="0" fontId="8" fillId="0" borderId="0" pivotButton="0" quotePrefix="0" xfId="0"/>
    <xf numFmtId="3" fontId="8" fillId="9" borderId="0" pivotButton="0" quotePrefix="0" xfId="0"/>
    <xf numFmtId="3" fontId="4" fillId="9" borderId="0" pivotButton="0" quotePrefix="0" xfId="0"/>
    <xf numFmtId="3" fontId="4" fillId="0" borderId="1" pivotButton="0" quotePrefix="0" xfId="0"/>
    <xf numFmtId="164" fontId="0" fillId="0" borderId="1" pivotButton="0" quotePrefix="0" xfId="0"/>
    <xf numFmtId="0" fontId="9" fillId="0" borderId="0" applyAlignment="1" pivotButton="0" quotePrefix="0" xfId="0">
      <alignment horizontal="center"/>
    </xf>
    <xf numFmtId="0" fontId="0" fillId="4" borderId="1" pivotButton="0" quotePrefix="0" xfId="0"/>
    <xf numFmtId="0" fontId="0" fillId="10" borderId="1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6" customWidth="1" min="3" max="3"/>
    <col width="8" customWidth="1" min="4" max="4"/>
    <col width="19" customWidth="1" min="5" max="5"/>
    <col width="11" customWidth="1" min="6" max="6"/>
    <col width="19" customWidth="1" min="7" max="7"/>
    <col width="18" customWidth="1" min="8" max="8"/>
    <col width="15" customWidth="1" min="9" max="9"/>
    <col width="20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📊 TABLEAU DE BORD CONSOLIDATION SCPI</t>
        </is>
      </c>
    </row>
    <row r="2">
      <c r="A2" s="2" t="inlineStr">
        <is>
          <t>Date d'extraction: 11/01/2026 18:11</t>
        </is>
      </c>
    </row>
    <row r="3"/>
    <row r="4">
      <c r="A4" s="3" t="inlineStr">
        <is>
          <t>📈 KPIs GLOBAUX</t>
        </is>
      </c>
    </row>
    <row r="5">
      <c r="A5" s="4" t="inlineStr">
        <is>
          <t>SCPI analysées</t>
        </is>
      </c>
      <c r="B5" t="n">
        <v>5</v>
      </c>
      <c r="C5" s="4" t="inlineStr">
        <is>
          <t>Actifs directs</t>
        </is>
      </c>
      <c r="D5" t="n">
        <v>126</v>
      </c>
      <c r="E5" s="4" t="inlineStr">
        <is>
          <t>SCI sous-jacentes</t>
        </is>
      </c>
      <c r="F5" t="n">
        <v>25</v>
      </c>
      <c r="G5" s="4" t="inlineStr">
        <is>
          <t>Comptes courants</t>
        </is>
      </c>
      <c r="H5" t="n">
        <v>19</v>
      </c>
    </row>
    <row r="6"/>
    <row r="7"/>
    <row r="8">
      <c r="A8" s="3" t="inlineStr">
        <is>
          <t>🏢 RÉCAPITULATIF PAR SCPI</t>
        </is>
      </c>
    </row>
    <row r="9">
      <c r="A9" s="5" t="inlineStr">
        <is>
          <t>SCPI</t>
        </is>
      </c>
      <c r="B9" s="5" t="inlineStr">
        <is>
          <t>Société Gestion</t>
        </is>
      </c>
      <c r="C9" s="5" t="inlineStr">
        <is>
          <t>Type</t>
        </is>
      </c>
      <c r="D9" s="5" t="inlineStr">
        <is>
          <t>TD %</t>
        </is>
      </c>
      <c r="E9" s="5" t="inlineStr">
        <is>
          <t>TOF %</t>
        </is>
      </c>
      <c r="F9" s="5" t="inlineStr">
        <is>
          <t>Nb Actifs</t>
        </is>
      </c>
      <c r="G9" s="5" t="inlineStr">
        <is>
          <t>Capitalisation M€</t>
        </is>
      </c>
      <c r="H9" s="5" t="inlineStr">
        <is>
          <t>VV Patrimoine M€</t>
        </is>
      </c>
      <c r="I9" s="5" t="inlineStr">
        <is>
          <t>CAPEX Total €</t>
        </is>
      </c>
      <c r="J9" s="5" t="inlineStr">
        <is>
          <t>CAPEX/VV %</t>
        </is>
      </c>
      <c r="K9" s="5" t="inlineStr">
        <is>
          <t>CAPEX/m² €</t>
        </is>
      </c>
      <c r="L9" s="5" t="inlineStr">
        <is>
          <t>Qualité</t>
        </is>
      </c>
      <c r="M9" s="5" t="inlineStr">
        <is>
          <t>Alertes</t>
        </is>
      </c>
    </row>
    <row r="10">
      <c r="A10" s="6" t="inlineStr">
        <is>
          <t>Rivoli Avenir Patrimoine</t>
        </is>
      </c>
      <c r="B10" s="6" t="inlineStr">
        <is>
          <t>Amundi Immobilier</t>
        </is>
      </c>
      <c r="C10" s="6" t="inlineStr">
        <is>
          <t>Diversifiée</t>
        </is>
      </c>
      <c r="D10" s="7" t="n">
        <v>4.52</v>
      </c>
      <c r="E10" s="7" t="n">
        <v>92.3</v>
      </c>
      <c r="F10" s="6" t="n">
        <v>145</v>
      </c>
      <c r="G10" s="8" t="n">
        <v>2850</v>
      </c>
      <c r="H10" s="8" t="n">
        <v>2650</v>
      </c>
      <c r="I10" s="9" t="n">
        <v>30395307</v>
      </c>
      <c r="J10" s="7" t="n">
        <v>1.146992716981132</v>
      </c>
      <c r="K10" s="7" t="n">
        <v>62.67073608247423</v>
      </c>
      <c r="L10" s="6" t="inlineStr">
        <is>
          <t>Moyenne</t>
        </is>
      </c>
      <c r="M10" s="10" t="n">
        <v>3</v>
      </c>
    </row>
    <row r="11">
      <c r="A11" s="6" t="inlineStr">
        <is>
          <t>Aestiam Placement Pierre</t>
        </is>
      </c>
      <c r="B11" s="6" t="inlineStr">
        <is>
          <t>Aestiam</t>
        </is>
      </c>
      <c r="C11" s="6" t="inlineStr">
        <is>
          <t>Diversifiée</t>
        </is>
      </c>
      <c r="D11" s="7" t="n">
        <v>5.12</v>
      </c>
      <c r="E11" s="7" t="n">
        <v>78.5</v>
      </c>
      <c r="F11" s="6" t="n">
        <v>58</v>
      </c>
      <c r="G11" s="8" t="n">
        <v>580</v>
      </c>
      <c r="H11" s="8" t="n">
        <v>520</v>
      </c>
      <c r="I11" s="9" t="n">
        <v>34404602</v>
      </c>
      <c r="J11" s="7" t="n">
        <v>6.616269615384615</v>
      </c>
      <c r="K11" s="7" t="n">
        <v>237.2731172413793</v>
      </c>
      <c r="L11" s="6" t="inlineStr">
        <is>
          <t>Excellente</t>
        </is>
      </c>
      <c r="M11" s="10" t="n">
        <v>5</v>
      </c>
    </row>
    <row r="12">
      <c r="A12" s="6" t="inlineStr">
        <is>
          <t>LF Croissance &amp; Territoires</t>
        </is>
      </c>
      <c r="B12" s="6" t="inlineStr">
        <is>
          <t>La Française REM</t>
        </is>
      </c>
      <c r="C12" s="6" t="inlineStr">
        <is>
          <t>Diversifiée</t>
        </is>
      </c>
      <c r="D12" s="7" t="n">
        <v>4.78</v>
      </c>
      <c r="E12" s="7" t="n">
        <v>88.2</v>
      </c>
      <c r="F12" s="6" t="n">
        <v>72</v>
      </c>
      <c r="G12" s="8" t="n">
        <v>920</v>
      </c>
      <c r="H12" s="8" t="n">
        <v>850</v>
      </c>
      <c r="I12" s="9" t="n">
        <v>37709703</v>
      </c>
      <c r="J12" s="7" t="n">
        <v>4.436435647058824</v>
      </c>
      <c r="K12" s="7" t="n">
        <v>193.3830923076923</v>
      </c>
      <c r="L12" s="6" t="inlineStr">
        <is>
          <t>Moyenne</t>
        </is>
      </c>
      <c r="M12" s="10" t="n">
        <v>3</v>
      </c>
    </row>
    <row r="13">
      <c r="A13" s="6" t="inlineStr">
        <is>
          <t>Pierre Sélection</t>
        </is>
      </c>
      <c r="B13" s="6" t="inlineStr">
        <is>
          <t>BNP Paribas REIM</t>
        </is>
      </c>
      <c r="C13" s="6" t="inlineStr">
        <is>
          <t>Bureaux</t>
        </is>
      </c>
      <c r="D13" s="7" t="n">
        <v>4.85</v>
      </c>
      <c r="E13" s="7" t="n">
        <v>89.5</v>
      </c>
      <c r="F13" s="6" t="n">
        <v>82</v>
      </c>
      <c r="G13" s="8" t="n">
        <v>1420</v>
      </c>
      <c r="H13" s="8" t="n">
        <v>1380</v>
      </c>
      <c r="I13" s="9" t="n">
        <v>37189084</v>
      </c>
      <c r="J13" s="7" t="n">
        <v>2.69486115942029</v>
      </c>
      <c r="K13" s="7" t="n">
        <v>165.2848177777778</v>
      </c>
      <c r="L13" s="6" t="inlineStr">
        <is>
          <t>Excellente</t>
        </is>
      </c>
      <c r="M13" s="10" t="n">
        <v>3</v>
      </c>
    </row>
    <row r="14">
      <c r="A14" s="6" t="inlineStr">
        <is>
          <t>Atout Pierre Diversification</t>
        </is>
      </c>
      <c r="B14" s="6" t="inlineStr">
        <is>
          <t>AEW Ciloger</t>
        </is>
      </c>
      <c r="C14" s="6" t="inlineStr">
        <is>
          <t>Diversifiée</t>
        </is>
      </c>
      <c r="D14" s="7" t="n">
        <v>4.35</v>
      </c>
      <c r="E14" s="7" t="n">
        <v>91.8</v>
      </c>
      <c r="F14" s="6" t="n">
        <v>95</v>
      </c>
      <c r="G14" s="8" t="n">
        <v>1180</v>
      </c>
      <c r="H14" s="8" t="n">
        <v>1050</v>
      </c>
      <c r="I14" s="9" t="n">
        <v>22400000</v>
      </c>
      <c r="J14" s="7" t="n">
        <v>2.133333333333333</v>
      </c>
      <c r="K14" s="7" t="n">
        <v>78.59649122807018</v>
      </c>
      <c r="L14" s="6" t="inlineStr">
        <is>
          <t>Excellente</t>
        </is>
      </c>
      <c r="M14" s="10" t="n">
        <v>3</v>
      </c>
    </row>
    <row r="15"/>
    <row r="16"/>
    <row r="17">
      <c r="A17" s="3" t="inlineStr">
        <is>
          <t>🔧 SYNTHÈSE CAPEX GLOBALE</t>
        </is>
      </c>
    </row>
    <row r="18">
      <c r="A18" s="4" t="inlineStr">
        <is>
          <t>Total CAPEX consolidé:</t>
        </is>
      </c>
      <c r="B18" t="inlineStr">
        <is>
          <t>162,098,696 €</t>
        </is>
      </c>
    </row>
    <row r="19">
      <c r="A19" s="4" t="inlineStr">
        <is>
          <t>Actifs avec CAPEX:</t>
        </is>
      </c>
      <c r="B19" t="n">
        <v>50</v>
      </c>
    </row>
    <row r="20">
      <c r="A20" s="4" t="inlineStr">
        <is>
          <t>Fiches CAPEX détaillées:</t>
        </is>
      </c>
      <c r="B20" t="n">
        <v>63</v>
      </c>
    </row>
    <row r="21"/>
    <row r="22"/>
    <row r="23">
      <c r="A23" s="3" t="inlineStr">
        <is>
          <t>✅ RÉSUMÉ CONTRÔLES</t>
        </is>
      </c>
    </row>
    <row r="24">
      <c r="A24" t="inlineStr">
        <is>
          <t>✅ OK:</t>
        </is>
      </c>
      <c r="B24" s="11" t="n">
        <v>23</v>
      </c>
    </row>
    <row r="25">
      <c r="A25" t="inlineStr">
        <is>
          <t>⚠️ Alertes:</t>
        </is>
      </c>
      <c r="B25" s="12" t="n">
        <v>17</v>
      </c>
    </row>
    <row r="26">
      <c r="A26" t="inlineStr">
        <is>
          <t>❌ Erreurs:</t>
        </is>
      </c>
      <c r="B26" s="13" t="n">
        <v>0</v>
      </c>
    </row>
    <row r="27">
      <c r="A27" t="inlineStr">
        <is>
          <t>ℹ️ Info:</t>
        </is>
      </c>
      <c r="B27" t="n">
        <v>5</v>
      </c>
    </row>
    <row r="28">
      <c r="A28" t="inlineStr">
        <is>
          <t>📈 Taux conformité:</t>
        </is>
      </c>
      <c r="B28" s="4" t="inlineStr">
        <is>
          <t>51.1%</t>
        </is>
      </c>
    </row>
  </sheetData>
  <mergeCells count="5">
    <mergeCell ref="A23:D23"/>
    <mergeCell ref="A1:M1"/>
    <mergeCell ref="A8:M8"/>
    <mergeCell ref="A4:D4"/>
    <mergeCell ref="A17:F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6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0" customWidth="1" min="3" max="3"/>
    <col width="25" customWidth="1" min="4" max="4"/>
    <col width="30" customWidth="1" min="5" max="5"/>
    <col width="19" customWidth="1" min="6" max="6"/>
    <col width="13" customWidth="1" min="7" max="7"/>
    <col width="10" customWidth="1" min="8" max="8"/>
    <col width="15" customWidth="1" min="9" max="9"/>
    <col width="17" customWidth="1" min="10" max="10"/>
    <col width="24" customWidth="1" min="11" max="11"/>
    <col width="14" customWidth="1" min="12" max="12"/>
    <col width="17" customWidth="1" min="13" max="13"/>
    <col width="16" customWidth="1" min="14" max="14"/>
    <col width="17" customWidth="1" min="15" max="15"/>
    <col width="19" customWidth="1" min="16" max="16"/>
    <col width="14" customWidth="1" min="17" max="17"/>
    <col width="16" customWidth="1" min="18" max="18"/>
    <col width="20" customWidth="1" min="19" max="19"/>
    <col width="29" customWidth="1" min="20" max="20"/>
    <col width="23" customWidth="1" min="21" max="21"/>
    <col width="32" customWidth="1" min="22" max="22"/>
    <col width="26" customWidth="1" min="23" max="23"/>
    <col width="21" customWidth="1" min="24" max="24"/>
    <col width="25" customWidth="1" min="25" max="25"/>
    <col width="27" customWidth="1" min="26" max="26"/>
    <col width="19" customWidth="1" min="27" max="27"/>
    <col width="16" customWidth="1" min="28" max="28"/>
    <col width="24" customWidth="1" min="29" max="29"/>
    <col width="18" customWidth="1" min="30" max="30"/>
    <col width="27" customWidth="1" min="31" max="31"/>
    <col width="11" customWidth="1" min="32" max="32"/>
    <col width="12" customWidth="1" min="33" max="33"/>
    <col width="12" customWidth="1" min="34" max="34"/>
    <col width="12" customWidth="1" min="35" max="35"/>
    <col width="29" customWidth="1" min="36" max="36"/>
    <col width="12" customWidth="1" min="37" max="37"/>
    <col width="19" customWidth="1" min="38" max="38"/>
    <col width="19" customWidth="1" min="39" max="39"/>
    <col width="19" customWidth="1" min="40" max="40"/>
    <col width="19" customWidth="1" min="41" max="41"/>
    <col width="12" customWidth="1" min="42" max="42"/>
    <col width="17" customWidth="1" min="43" max="43"/>
    <col width="21" customWidth="1" min="44" max="44"/>
    <col width="15" customWidth="1" min="45" max="45"/>
    <col width="22" customWidth="1" min="46" max="46"/>
    <col width="24" customWidth="1" min="47" max="47"/>
    <col width="16" customWidth="1" min="48" max="48"/>
    <col width="15" customWidth="1" min="49" max="49"/>
    <col width="20" customWidth="1" min="50" max="50"/>
    <col width="20" customWidth="1" min="51" max="51"/>
    <col width="20" customWidth="1" min="52" max="52"/>
    <col width="15" customWidth="1" min="53" max="53"/>
    <col width="11" customWidth="1" min="54" max="54"/>
    <col width="17" customWidth="1" min="55" max="55"/>
    <col width="16" customWidth="1" min="56" max="56"/>
    <col width="18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12" customWidth="1" min="63" max="63"/>
    <col width="17" customWidth="1" min="64" max="64"/>
    <col width="22" customWidth="1" min="65" max="65"/>
    <col width="13" customWidth="1" min="66" max="66"/>
    <col width="18" customWidth="1" min="67" max="67"/>
    <col width="21" customWidth="1" min="68" max="68"/>
    <col width="22" customWidth="1" min="69" max="69"/>
    <col width="16" customWidth="1" min="70" max="70"/>
    <col width="16" customWidth="1" min="71" max="71"/>
    <col width="26" customWidth="1" min="72" max="72"/>
    <col width="25" customWidth="1" min="73" max="73"/>
    <col width="18" customWidth="1" min="74" max="74"/>
    <col width="23" customWidth="1" min="75" max="75"/>
    <col width="20" customWidth="1" min="76" max="76"/>
    <col width="20" customWidth="1" min="77" max="77"/>
    <col width="12" customWidth="1" min="78" max="78"/>
    <col width="17" customWidth="1" min="79" max="79"/>
    <col width="19" customWidth="1" min="80" max="80"/>
    <col width="19" customWidth="1" min="81" max="81"/>
    <col width="21" customWidth="1" min="82" max="82"/>
    <col width="22" customWidth="1" min="83" max="83"/>
    <col width="21" customWidth="1" min="84" max="84"/>
    <col width="14" customWidth="1" min="85" max="85"/>
    <col width="19" customWidth="1" min="86" max="86"/>
    <col width="20" customWidth="1" min="87" max="87"/>
    <col width="27" customWidth="1" min="88" max="88"/>
    <col width="29" customWidth="1" min="89" max="89"/>
    <col width="29" customWidth="1" min="90" max="90"/>
    <col width="24" customWidth="1" min="91" max="91"/>
    <col width="26" customWidth="1" min="92" max="92"/>
    <col width="33" customWidth="1" min="93" max="93"/>
    <col width="28" customWidth="1" min="94" max="94"/>
    <col width="26" customWidth="1" min="95" max="95"/>
    <col width="15" customWidth="1" min="96" max="96"/>
    <col width="22" customWidth="1" min="97" max="97"/>
    <col width="24" customWidth="1" min="98" max="98"/>
    <col width="20" customWidth="1" min="99" max="99"/>
    <col width="25" customWidth="1" min="100" max="100"/>
    <col width="26" customWidth="1" min="101" max="101"/>
    <col width="14" customWidth="1" min="102" max="102"/>
    <col width="27" customWidth="1" min="103" max="103"/>
  </cols>
  <sheetData>
    <row r="1">
      <c r="A1" s="5" t="inlineStr">
        <is>
          <t>source_pdf</t>
        </is>
      </c>
      <c r="B1" s="5" t="inlineStr">
        <is>
          <t>date_extraction</t>
        </is>
      </c>
      <c r="C1" s="5" t="inlineStr">
        <is>
          <t>qualite_extraction</t>
        </is>
      </c>
      <c r="D1" s="5" t="inlineStr">
        <is>
          <t>nb_indicateurs_extraits</t>
        </is>
      </c>
      <c r="E1" s="5" t="inlineStr">
        <is>
          <t>nom_scpi</t>
        </is>
      </c>
      <c r="F1" s="5" t="inlineStr">
        <is>
          <t>societe_gestion</t>
        </is>
      </c>
      <c r="G1" s="5" t="inlineStr">
        <is>
          <t>type_scpi</t>
        </is>
      </c>
      <c r="H1" s="5" t="inlineStr">
        <is>
          <t>visa_amf</t>
        </is>
      </c>
      <c r="I1" s="5" t="inlineStr">
        <is>
          <t>date_creation</t>
        </is>
      </c>
      <c r="J1" s="5" t="inlineStr">
        <is>
          <t>capital_nominal</t>
        </is>
      </c>
      <c r="K1" s="5" t="inlineStr">
        <is>
          <t>capital_statutaire_max</t>
        </is>
      </c>
      <c r="L1" s="5" t="inlineStr">
        <is>
          <t>nombre_parts</t>
        </is>
      </c>
      <c r="M1" s="5" t="inlineStr">
        <is>
          <t>nombre_associes</t>
        </is>
      </c>
      <c r="N1" s="5" t="inlineStr">
        <is>
          <t>capitalisation</t>
        </is>
      </c>
      <c r="O1" s="5" t="inlineStr">
        <is>
          <t>valeur_nominale</t>
        </is>
      </c>
      <c r="P1" s="5" t="inlineStr">
        <is>
          <t>prix_souscription</t>
        </is>
      </c>
      <c r="Q1" s="5" t="inlineStr">
        <is>
          <t>prix_retrait</t>
        </is>
      </c>
      <c r="R1" s="5" t="inlineStr">
        <is>
          <t>prime_emission</t>
        </is>
      </c>
      <c r="S1" s="5" t="inlineStr">
        <is>
          <t>valeur_realisation</t>
        </is>
      </c>
      <c r="T1" s="5" t="inlineStr">
        <is>
          <t>valeur_realisation_par_part</t>
        </is>
      </c>
      <c r="U1" s="5" t="inlineStr">
        <is>
          <t>valeur_reconstitution</t>
        </is>
      </c>
      <c r="V1" s="5" t="inlineStr">
        <is>
          <t>valeur_reconstitution_par_part</t>
        </is>
      </c>
      <c r="W1" s="5" t="inlineStr">
        <is>
          <t>valeur_venale_patrimoine</t>
        </is>
      </c>
      <c r="X1" s="5" t="inlineStr">
        <is>
          <t>valeur_ifi_resident</t>
        </is>
      </c>
      <c r="Y1" s="5" t="inlineStr">
        <is>
          <t>valeur_ifi_non_resident</t>
        </is>
      </c>
      <c r="Z1" s="5" t="inlineStr">
        <is>
          <t>ecart_prix_reconstitution</t>
        </is>
      </c>
      <c r="AA1" s="5" t="inlineStr">
        <is>
          <t>taux_distribution</t>
        </is>
      </c>
      <c r="AB1" s="5" t="inlineStr">
        <is>
          <t>dividende_brut</t>
        </is>
      </c>
      <c r="AC1" s="5" t="inlineStr">
        <is>
          <t>dividende_exceptionnel</t>
        </is>
      </c>
      <c r="AD1" s="5" t="inlineStr">
        <is>
          <t>report_a_nouveau</t>
        </is>
      </c>
      <c r="AE1" s="5" t="inlineStr">
        <is>
          <t>report_a_nouveau_par_part</t>
        </is>
      </c>
      <c r="AF1" s="5" t="inlineStr">
        <is>
          <t>tri_5_ans</t>
        </is>
      </c>
      <c r="AG1" s="5" t="inlineStr">
        <is>
          <t>tri_10_ans</t>
        </is>
      </c>
      <c r="AH1" s="5" t="inlineStr">
        <is>
          <t>tri_15_ans</t>
        </is>
      </c>
      <c r="AI1" s="5" t="inlineStr">
        <is>
          <t>tri_20_ans</t>
        </is>
      </c>
      <c r="AJ1" s="5" t="inlineStr">
        <is>
          <t>rendement_global_immobilier</t>
        </is>
      </c>
      <c r="AK1" s="5" t="inlineStr">
        <is>
          <t>tof_annuel</t>
        </is>
      </c>
      <c r="AL1" s="5" t="inlineStr">
        <is>
          <t>tof_t1</t>
        </is>
      </c>
      <c r="AM1" s="5" t="inlineStr">
        <is>
          <t>tof_t2</t>
        </is>
      </c>
      <c r="AN1" s="5" t="inlineStr">
        <is>
          <t>tof_t3</t>
        </is>
      </c>
      <c r="AO1" s="5" t="inlineStr">
        <is>
          <t>tof_t4</t>
        </is>
      </c>
      <c r="AP1" s="5" t="inlineStr">
        <is>
          <t>top_annuel</t>
        </is>
      </c>
      <c r="AQ1" s="5" t="inlineStr">
        <is>
          <t>surface_vacante</t>
        </is>
      </c>
      <c r="AR1" s="5" t="inlineStr">
        <is>
          <t>surface_vacante_pct</t>
        </is>
      </c>
      <c r="AS1" s="5" t="inlineStr">
        <is>
          <t>nombre_actifs</t>
        </is>
      </c>
      <c r="AT1" s="5" t="inlineStr">
        <is>
          <t>nombre_actifs_direct</t>
        </is>
      </c>
      <c r="AU1" s="5" t="inlineStr">
        <is>
          <t>nombre_actifs_indirect</t>
        </is>
      </c>
      <c r="AV1" s="5" t="inlineStr">
        <is>
          <t>surface_totale</t>
        </is>
      </c>
      <c r="AW1" s="5" t="inlineStr">
        <is>
          <t>prix_moyen_m2</t>
        </is>
      </c>
      <c r="AX1" s="5" t="inlineStr">
        <is>
          <t>pct_bureaux</t>
        </is>
      </c>
      <c r="AY1" s="5" t="inlineStr">
        <is>
          <t>pct_commerces</t>
        </is>
      </c>
      <c r="AZ1" s="5" t="inlineStr">
        <is>
          <t>pct_logistique</t>
        </is>
      </c>
      <c r="BA1" s="5" t="inlineStr">
        <is>
          <t>pct_activites</t>
        </is>
      </c>
      <c r="BB1" s="5" t="inlineStr">
        <is>
          <t>pct_sante</t>
        </is>
      </c>
      <c r="BC1" s="5" t="inlineStr">
        <is>
          <t>pct_residentiel</t>
        </is>
      </c>
      <c r="BD1" s="5" t="inlineStr">
        <is>
          <t>pct_hotellerie</t>
        </is>
      </c>
      <c r="BE1" s="5" t="inlineStr">
        <is>
          <t>pct_enseignement</t>
        </is>
      </c>
      <c r="BF1" s="5" t="inlineStr">
        <is>
          <t>pct_autres</t>
        </is>
      </c>
      <c r="BG1" s="5" t="inlineStr">
        <is>
          <t>pct_paris</t>
        </is>
      </c>
      <c r="BH1" s="5" t="inlineStr">
        <is>
          <t>pct_idf_hors_paris</t>
        </is>
      </c>
      <c r="BI1" s="5" t="inlineStr">
        <is>
          <t>pct_regions</t>
        </is>
      </c>
      <c r="BJ1" s="5" t="inlineStr">
        <is>
          <t>pct_etranger</t>
        </is>
      </c>
      <c r="BK1" s="5" t="inlineStr">
        <is>
          <t>pct_france</t>
        </is>
      </c>
      <c r="BL1" s="5" t="inlineStr">
        <is>
          <t>nb_acquisitions</t>
        </is>
      </c>
      <c r="BM1" s="5" t="inlineStr">
        <is>
          <t>montant_acquisitions</t>
        </is>
      </c>
      <c r="BN1" s="5" t="inlineStr">
        <is>
          <t>nb_cessions</t>
        </is>
      </c>
      <c r="BO1" s="5" t="inlineStr">
        <is>
          <t>montant_cessions</t>
        </is>
      </c>
      <c r="BP1" s="5" t="inlineStr">
        <is>
          <t>plus_value_cessions</t>
        </is>
      </c>
      <c r="BQ1" s="5" t="inlineStr">
        <is>
          <t>moins_value_cessions</t>
        </is>
      </c>
      <c r="BR1" s="5" t="inlineStr">
        <is>
          <t>collecte_brute</t>
        </is>
      </c>
      <c r="BS1" s="5" t="inlineStr">
        <is>
          <t>collecte_nette</t>
        </is>
      </c>
      <c r="BT1" s="5" t="inlineStr">
        <is>
          <t>parts_en_attente_retrait</t>
        </is>
      </c>
      <c r="BU1" s="5" t="inlineStr">
        <is>
          <t>montant_attente_retrait</t>
        </is>
      </c>
      <c r="BV1" s="5" t="inlineStr">
        <is>
          <t>delai_jouissance</t>
        </is>
      </c>
      <c r="BW1" s="5" t="inlineStr">
        <is>
          <t>ratio_endettement_ltv</t>
        </is>
      </c>
      <c r="BX1" s="5" t="inlineStr">
        <is>
          <t>emprunts_bancaires</t>
        </is>
      </c>
      <c r="BY1" s="5" t="inlineStr">
        <is>
          <t>dettes_financieres</t>
        </is>
      </c>
      <c r="BZ1" s="5" t="inlineStr">
        <is>
          <t>tresorerie</t>
        </is>
      </c>
      <c r="CA1" s="5" t="inlineStr">
        <is>
          <t>endettement_net</t>
        </is>
      </c>
      <c r="CB1" s="5" t="inlineStr">
        <is>
          <t>loyers_quittances</t>
        </is>
      </c>
      <c r="CC1" s="5" t="inlineStr">
        <is>
          <t>produits_locatifs</t>
        </is>
      </c>
      <c r="CD1" s="5" t="inlineStr">
        <is>
          <t>produits_financiers</t>
        </is>
      </c>
      <c r="CE1" s="5" t="inlineStr">
        <is>
          <t>charges_immobilieres</t>
        </is>
      </c>
      <c r="CF1" s="5" t="inlineStr">
        <is>
          <t>resultat_immobilier</t>
        </is>
      </c>
      <c r="CG1" s="5" t="inlineStr">
        <is>
          <t>resultat_net</t>
        </is>
      </c>
      <c r="CH1" s="5" t="inlineStr">
        <is>
          <t>resultat_par_part</t>
        </is>
      </c>
      <c r="CI1" s="5" t="inlineStr">
        <is>
          <t>benefice_comptable</t>
        </is>
      </c>
      <c r="CJ1" s="5" t="inlineStr">
        <is>
          <t>revenus_fonciers_par_part</t>
        </is>
      </c>
      <c r="CK1" s="5" t="inlineStr">
        <is>
          <t>revenus_financiers_par_part</t>
        </is>
      </c>
      <c r="CL1" s="5" t="inlineStr">
        <is>
          <t>commission_souscription_pct</t>
        </is>
      </c>
      <c r="CM1" s="5" t="inlineStr">
        <is>
          <t>commission_gestion_pct</t>
        </is>
      </c>
      <c r="CN1" s="5" t="inlineStr">
        <is>
          <t>commission_arbitrage_pct</t>
        </is>
      </c>
      <c r="CO1" s="5" t="inlineStr">
        <is>
          <t>commission_souscription_montant</t>
        </is>
      </c>
      <c r="CP1" s="5" t="inlineStr">
        <is>
          <t>commission_gestion_montant</t>
        </is>
      </c>
      <c r="CQ1" s="5" t="inlineStr">
        <is>
          <t>provision_gros_entretien</t>
        </is>
      </c>
      <c r="CR1" s="5" t="inlineStr">
        <is>
          <t>total_travaux</t>
        </is>
      </c>
      <c r="CS1" s="5" t="inlineStr">
        <is>
          <t>travaux_amelioration</t>
        </is>
      </c>
      <c r="CT1" s="5" t="inlineStr">
        <is>
          <t>travaux_gros_entretien</t>
        </is>
      </c>
      <c r="CU1" s="5" t="inlineStr">
        <is>
          <t>travaux_renovation</t>
        </is>
      </c>
      <c r="CV1" s="5" t="inlineStr">
        <is>
          <t>travaux_mise_conformite</t>
        </is>
      </c>
      <c r="CW1" s="5" t="inlineStr">
        <is>
          <t>travaux_environnementaux</t>
        </is>
      </c>
      <c r="CX1" s="5" t="inlineStr">
        <is>
          <t>capex_par_m2</t>
        </is>
      </c>
      <c r="CY1" s="5" t="inlineStr">
        <is>
          <t>ratio_capex_valeur_venale</t>
        </is>
      </c>
    </row>
    <row r="2">
      <c r="A2" s="6" t="inlineStr">
        <is>
          <t>rivoli-avenir-patrimoine-rapport-annuel-2024.pdf</t>
        </is>
      </c>
      <c r="B2" s="6" t="inlineStr">
        <is>
          <t>2026-01-11T18:11:47.584556</t>
        </is>
      </c>
      <c r="C2" s="6" t="inlineStr">
        <is>
          <t>Moyenne</t>
        </is>
      </c>
      <c r="D2" s="6" t="n">
        <v>40</v>
      </c>
      <c r="E2" s="6" t="inlineStr">
        <is>
          <t>Rivoli Avenir Patrimoine</t>
        </is>
      </c>
      <c r="F2" s="6" t="inlineStr">
        <is>
          <t>Amundi Immobilier</t>
        </is>
      </c>
      <c r="G2" s="6" t="inlineStr">
        <is>
          <t>Diversifiée</t>
        </is>
      </c>
      <c r="H2" s="6" t="n"/>
      <c r="I2" s="6" t="n"/>
      <c r="J2" s="6" t="n"/>
      <c r="K2" s="6" t="n"/>
      <c r="L2" s="6" t="n"/>
      <c r="M2" s="6" t="n"/>
      <c r="N2" s="6" t="n">
        <v>2850000000</v>
      </c>
      <c r="O2" s="6" t="n"/>
      <c r="P2" s="6" t="n">
        <v>328</v>
      </c>
      <c r="Q2" s="6" t="n"/>
      <c r="R2" s="6" t="n"/>
      <c r="S2" s="6" t="n"/>
      <c r="T2" s="6" t="n"/>
      <c r="U2" s="6" t="n"/>
      <c r="V2" s="6" t="n">
        <v>322.5</v>
      </c>
      <c r="W2" s="6" t="n">
        <v>2650000000</v>
      </c>
      <c r="X2" s="6" t="n"/>
      <c r="Y2" s="6" t="n"/>
      <c r="Z2" s="6" t="n"/>
      <c r="AA2" s="6" t="n">
        <v>4.52</v>
      </c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>
        <v>92.3</v>
      </c>
      <c r="AL2" s="6" t="n">
        <v>91.41423779809398</v>
      </c>
      <c r="AM2" s="6" t="n">
        <v>91.75861419770533</v>
      </c>
      <c r="AN2" s="6" t="n">
        <v>92.77372055604897</v>
      </c>
      <c r="AO2" s="6" t="n">
        <v>93.15890882505853</v>
      </c>
      <c r="AP2" s="6" t="n"/>
      <c r="AQ2" s="6" t="n"/>
      <c r="AR2" s="6" t="n"/>
      <c r="AS2" s="6" t="n">
        <v>145</v>
      </c>
      <c r="AT2" s="6" t="n"/>
      <c r="AU2" s="6" t="n"/>
      <c r="AV2" s="6" t="n">
        <v>485000</v>
      </c>
      <c r="AW2" s="6" t="n"/>
      <c r="AX2" s="6" t="n">
        <v>46.28261525247147</v>
      </c>
      <c r="AY2" s="6" t="n">
        <v>15.25226877889195</v>
      </c>
      <c r="AZ2" s="6" t="n">
        <v>13.88763898315022</v>
      </c>
      <c r="BA2" s="6" t="n"/>
      <c r="BB2" s="6" t="n"/>
      <c r="BC2" s="6" t="n"/>
      <c r="BD2" s="6" t="n"/>
      <c r="BE2" s="6" t="n"/>
      <c r="BF2" s="6" t="n">
        <v>13.02155857553618</v>
      </c>
      <c r="BG2" s="6" t="n">
        <v>15.58719068926468</v>
      </c>
      <c r="BH2" s="6" t="n">
        <v>32.20727433605155</v>
      </c>
      <c r="BI2" s="6" t="n">
        <v>29.3916804989367</v>
      </c>
      <c r="BJ2" s="6" t="n">
        <v>12.86230687472786</v>
      </c>
      <c r="BK2" s="6" t="n"/>
      <c r="BL2" s="6" t="n"/>
      <c r="BM2" s="6" t="n"/>
      <c r="BN2" s="6" t="n"/>
      <c r="BO2" s="6" t="n"/>
      <c r="BP2" s="6" t="n"/>
      <c r="BQ2" s="6" t="n"/>
      <c r="BR2" s="6" t="n"/>
      <c r="BS2" s="6" t="n"/>
      <c r="BT2" s="6" t="n"/>
      <c r="BU2" s="6" t="n"/>
      <c r="BV2" s="6" t="n"/>
      <c r="BW2" s="6" t="n">
        <v>18.5</v>
      </c>
      <c r="BX2" s="6" t="n"/>
      <c r="BY2" s="6" t="n"/>
      <c r="BZ2" s="6" t="n"/>
      <c r="CA2" s="6" t="n"/>
      <c r="CB2" s="6" t="n">
        <v>158000000</v>
      </c>
      <c r="CC2" s="6" t="n"/>
      <c r="CD2" s="6" t="n"/>
      <c r="CE2" s="6" t="n"/>
      <c r="CF2" s="6" t="n"/>
      <c r="CG2" s="6" t="n"/>
      <c r="CH2" s="6" t="n"/>
      <c r="CI2" s="6" t="n"/>
      <c r="CJ2" s="6" t="n"/>
      <c r="CK2" s="6" t="n"/>
      <c r="CL2" s="6" t="n"/>
      <c r="CM2" s="6" t="n"/>
      <c r="CN2" s="6" t="n"/>
      <c r="CO2" s="6" t="n"/>
      <c r="CP2" s="6" t="n"/>
      <c r="CQ2" s="6" t="n"/>
      <c r="CR2" s="6" t="n">
        <v>28500000</v>
      </c>
      <c r="CS2" s="6" t="n"/>
      <c r="CT2" s="6" t="n"/>
      <c r="CU2" s="6" t="n"/>
      <c r="CV2" s="6" t="n"/>
      <c r="CW2" s="6" t="n"/>
      <c r="CX2" s="6" t="n"/>
      <c r="CY2" s="6" t="n"/>
    </row>
    <row r="3">
      <c r="A3" s="6" t="inlineStr">
        <is>
          <t>aestiam-placement-pierre-rapport-annuel-2024.pdf</t>
        </is>
      </c>
      <c r="B3" s="6" t="inlineStr">
        <is>
          <t>2026-01-11T18:11:47.584952</t>
        </is>
      </c>
      <c r="C3" s="6" t="inlineStr">
        <is>
          <t>Excellente</t>
        </is>
      </c>
      <c r="D3" s="6" t="n">
        <v>48</v>
      </c>
      <c r="E3" s="6" t="inlineStr">
        <is>
          <t>Aestiam Placement Pierre</t>
        </is>
      </c>
      <c r="F3" s="6" t="inlineStr">
        <is>
          <t>Aestiam</t>
        </is>
      </c>
      <c r="G3" s="6" t="inlineStr">
        <is>
          <t>Diversifiée</t>
        </is>
      </c>
      <c r="H3" s="6" t="n"/>
      <c r="I3" s="6" t="n"/>
      <c r="J3" s="6" t="n"/>
      <c r="K3" s="6" t="n"/>
      <c r="L3" s="6" t="n"/>
      <c r="M3" s="6" t="n"/>
      <c r="N3" s="6" t="n">
        <v>580000000</v>
      </c>
      <c r="O3" s="6" t="n"/>
      <c r="P3" s="6" t="n">
        <v>210</v>
      </c>
      <c r="Q3" s="6" t="n"/>
      <c r="R3" s="6" t="n"/>
      <c r="S3" s="6" t="n"/>
      <c r="T3" s="6" t="n"/>
      <c r="U3" s="6" t="n"/>
      <c r="V3" s="6" t="n">
        <v>195</v>
      </c>
      <c r="W3" s="6" t="n">
        <v>520000000</v>
      </c>
      <c r="X3" s="6" t="n"/>
      <c r="Y3" s="6" t="n"/>
      <c r="Z3" s="6" t="n"/>
      <c r="AA3" s="6" t="n">
        <v>5.12</v>
      </c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>
        <v>78.5</v>
      </c>
      <c r="AL3" s="6" t="n">
        <v>77.33663481059479</v>
      </c>
      <c r="AM3" s="6" t="n">
        <v>77.52082256522256</v>
      </c>
      <c r="AN3" s="6" t="n">
        <v>78.69298016160025</v>
      </c>
      <c r="AO3" s="6" t="n">
        <v>79.42731596963516</v>
      </c>
      <c r="AP3" s="6" t="n"/>
      <c r="AQ3" s="6" t="n"/>
      <c r="AR3" s="6" t="n"/>
      <c r="AS3" s="6" t="n">
        <v>58</v>
      </c>
      <c r="AT3" s="6" t="n"/>
      <c r="AU3" s="6" t="n"/>
      <c r="AV3" s="6" t="n">
        <v>145000</v>
      </c>
      <c r="AW3" s="6" t="n"/>
      <c r="AX3" s="6" t="n">
        <v>56.21507317163565</v>
      </c>
      <c r="AY3" s="6" t="n">
        <v>24.03111854343046</v>
      </c>
      <c r="AZ3" s="6" t="n">
        <v>7.284363090719729</v>
      </c>
      <c r="BA3" s="6" t="n"/>
      <c r="BB3" s="6" t="n"/>
      <c r="BC3" s="6" t="n"/>
      <c r="BD3" s="6" t="n"/>
      <c r="BE3" s="6" t="n"/>
      <c r="BF3" s="6" t="n">
        <v>9.91579655933873</v>
      </c>
      <c r="BG3" s="6" t="n">
        <v>24.1196922915173</v>
      </c>
      <c r="BH3" s="6" t="n">
        <v>44.00044922544913</v>
      </c>
      <c r="BI3" s="6" t="n">
        <v>35.94547688434223</v>
      </c>
      <c r="BJ3" s="6" t="n">
        <v>5.541700663227496</v>
      </c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>
        <v>42.5</v>
      </c>
      <c r="BX3" s="6" t="n"/>
      <c r="BY3" s="6" t="n"/>
      <c r="BZ3" s="6" t="n"/>
      <c r="CA3" s="6" t="n"/>
      <c r="CB3" s="6" t="n">
        <v>38000000</v>
      </c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>
        <v>18500000</v>
      </c>
      <c r="CS3" s="6" t="n"/>
      <c r="CT3" s="6" t="n"/>
      <c r="CU3" s="6" t="n"/>
      <c r="CV3" s="6" t="n"/>
      <c r="CW3" s="6" t="n"/>
      <c r="CX3" s="6" t="n"/>
      <c r="CY3" s="6" t="n"/>
    </row>
    <row r="4">
      <c r="A4" s="6" t="inlineStr">
        <is>
          <t>lf-croissance-&amp;-territoires-rapport-annuel-2024.pdf</t>
        </is>
      </c>
      <c r="B4" s="6" t="inlineStr">
        <is>
          <t>2026-01-11T18:11:47.585309</t>
        </is>
      </c>
      <c r="C4" s="6" t="inlineStr">
        <is>
          <t>Moyenne</t>
        </is>
      </c>
      <c r="D4" s="6" t="n">
        <v>38</v>
      </c>
      <c r="E4" s="6" t="inlineStr">
        <is>
          <t>LF Croissance &amp; Territoires</t>
        </is>
      </c>
      <c r="F4" s="6" t="inlineStr">
        <is>
          <t>La Française REM</t>
        </is>
      </c>
      <c r="G4" s="6" t="inlineStr">
        <is>
          <t>Diversifiée</t>
        </is>
      </c>
      <c r="H4" s="6" t="n"/>
      <c r="I4" s="6" t="n"/>
      <c r="J4" s="6" t="n"/>
      <c r="K4" s="6" t="n"/>
      <c r="L4" s="6" t="n"/>
      <c r="M4" s="6" t="n"/>
      <c r="N4" s="6" t="n">
        <v>920000000</v>
      </c>
      <c r="O4" s="6" t="n"/>
      <c r="P4" s="6" t="n">
        <v>245</v>
      </c>
      <c r="Q4" s="6" t="n"/>
      <c r="R4" s="6" t="n"/>
      <c r="S4" s="6" t="n"/>
      <c r="T4" s="6" t="n"/>
      <c r="U4" s="6" t="n"/>
      <c r="V4" s="6" t="n">
        <v>238.5</v>
      </c>
      <c r="W4" s="6" t="n">
        <v>850000000</v>
      </c>
      <c r="X4" s="6" t="n"/>
      <c r="Y4" s="6" t="n"/>
      <c r="Z4" s="6" t="n"/>
      <c r="AA4" s="6" t="n">
        <v>4.78</v>
      </c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>
        <v>88.2</v>
      </c>
      <c r="AL4" s="6" t="n">
        <v>86.94004793662641</v>
      </c>
      <c r="AM4" s="6" t="n">
        <v>87.36146454492548</v>
      </c>
      <c r="AN4" s="6" t="n">
        <v>88.53927587910462</v>
      </c>
      <c r="AO4" s="6" t="n">
        <v>88.86857762547682</v>
      </c>
      <c r="AP4" s="6" t="n"/>
      <c r="AQ4" s="6" t="n"/>
      <c r="AR4" s="6" t="n"/>
      <c r="AS4" s="6" t="n">
        <v>72</v>
      </c>
      <c r="AT4" s="6" t="n"/>
      <c r="AU4" s="6" t="n"/>
      <c r="AV4" s="6" t="n">
        <v>195000</v>
      </c>
      <c r="AW4" s="6" t="n"/>
      <c r="AX4" s="6" t="n">
        <v>55.13856411492464</v>
      </c>
      <c r="AY4" s="6" t="n">
        <v>25.13823503412236</v>
      </c>
      <c r="AZ4" s="6" t="n">
        <v>14.65949614705007</v>
      </c>
      <c r="BA4" s="6" t="n"/>
      <c r="BB4" s="6" t="n"/>
      <c r="BC4" s="6" t="n"/>
      <c r="BD4" s="6" t="n"/>
      <c r="BE4" s="6" t="n"/>
      <c r="BF4" s="6" t="n">
        <v>10.17907134202954</v>
      </c>
      <c r="BG4" s="6" t="n">
        <v>20.52390371536769</v>
      </c>
      <c r="BH4" s="6" t="n">
        <v>41.31453934048081</v>
      </c>
      <c r="BI4" s="6" t="n">
        <v>37.36619830940475</v>
      </c>
      <c r="BJ4" s="6" t="n">
        <v>10.34395612391579</v>
      </c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>
        <v>28.3</v>
      </c>
      <c r="BX4" s="6" t="n"/>
      <c r="BY4" s="6" t="n"/>
      <c r="BZ4" s="6" t="n"/>
      <c r="CA4" s="6" t="n"/>
      <c r="CB4" s="6" t="n">
        <v>52000000</v>
      </c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>
        <v>12800000</v>
      </c>
      <c r="CS4" s="6" t="n"/>
      <c r="CT4" s="6" t="n"/>
      <c r="CU4" s="6" t="n"/>
      <c r="CV4" s="6" t="n"/>
      <c r="CW4" s="6" t="n"/>
      <c r="CX4" s="6" t="n"/>
      <c r="CY4" s="6" t="n"/>
    </row>
    <row r="5">
      <c r="A5" s="6" t="inlineStr">
        <is>
          <t>pierre-sélection-rapport-annuel-2024.pdf</t>
        </is>
      </c>
      <c r="B5" s="6" t="inlineStr">
        <is>
          <t>2026-01-11T18:11:47.585664</t>
        </is>
      </c>
      <c r="C5" s="6" t="inlineStr">
        <is>
          <t>Excellente</t>
        </is>
      </c>
      <c r="D5" s="6" t="n">
        <v>35</v>
      </c>
      <c r="E5" s="6" t="inlineStr">
        <is>
          <t>Pierre Sélection</t>
        </is>
      </c>
      <c r="F5" s="6" t="inlineStr">
        <is>
          <t>BNP Paribas REIM</t>
        </is>
      </c>
      <c r="G5" s="6" t="inlineStr">
        <is>
          <t>Bureaux</t>
        </is>
      </c>
      <c r="H5" s="6" t="n"/>
      <c r="I5" s="6" t="n"/>
      <c r="J5" s="6" t="n"/>
      <c r="K5" s="6" t="n"/>
      <c r="L5" s="6" t="n"/>
      <c r="M5" s="6" t="n"/>
      <c r="N5" s="6" t="n">
        <v>1420000000</v>
      </c>
      <c r="O5" s="6" t="n"/>
      <c r="P5" s="6" t="n">
        <v>1020</v>
      </c>
      <c r="Q5" s="6" t="n"/>
      <c r="R5" s="6" t="n"/>
      <c r="S5" s="6" t="n"/>
      <c r="T5" s="6" t="n"/>
      <c r="U5" s="6" t="n"/>
      <c r="V5" s="6" t="n">
        <v>985</v>
      </c>
      <c r="W5" s="6" t="n">
        <v>1380000000</v>
      </c>
      <c r="X5" s="6" t="n"/>
      <c r="Y5" s="6" t="n"/>
      <c r="Z5" s="6" t="n"/>
      <c r="AA5" s="6" t="n">
        <v>4.85</v>
      </c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>
        <v>89.5</v>
      </c>
      <c r="AL5" s="6" t="n">
        <v>88.99465986484816</v>
      </c>
      <c r="AM5" s="6" t="n">
        <v>89.48084659055358</v>
      </c>
      <c r="AN5" s="6" t="n">
        <v>89.63725876302568</v>
      </c>
      <c r="AO5" s="6" t="n">
        <v>90.00149181109501</v>
      </c>
      <c r="AP5" s="6" t="n"/>
      <c r="AQ5" s="6" t="n"/>
      <c r="AR5" s="6" t="n"/>
      <c r="AS5" s="6" t="n">
        <v>82</v>
      </c>
      <c r="AT5" s="6" t="n"/>
      <c r="AU5" s="6" t="n"/>
      <c r="AV5" s="6" t="n">
        <v>225000</v>
      </c>
      <c r="AW5" s="6" t="n"/>
      <c r="AX5" s="6" t="n">
        <v>50.53313102151859</v>
      </c>
      <c r="AY5" s="6" t="n">
        <v>21.59290641041185</v>
      </c>
      <c r="AZ5" s="6" t="n">
        <v>6.152082769376631</v>
      </c>
      <c r="BA5" s="6" t="n"/>
      <c r="BB5" s="6" t="n"/>
      <c r="BC5" s="6" t="n"/>
      <c r="BD5" s="6" t="n"/>
      <c r="BE5" s="6" t="n"/>
      <c r="BF5" s="6" t="n">
        <v>8.281362578883552</v>
      </c>
      <c r="BG5" s="6" t="n">
        <v>18.12389805441632</v>
      </c>
      <c r="BH5" s="6" t="n">
        <v>43.6061577825866</v>
      </c>
      <c r="BI5" s="6" t="n">
        <v>38.80653558307041</v>
      </c>
      <c r="BJ5" s="6" t="n">
        <v>9.99021920570712</v>
      </c>
      <c r="BK5" s="6" t="n"/>
      <c r="BL5" s="6" t="n"/>
      <c r="BM5" s="6" t="n"/>
      <c r="BN5" s="6" t="n"/>
      <c r="BO5" s="6" t="n"/>
      <c r="BP5" s="6" t="n"/>
      <c r="BQ5" s="6" t="n"/>
      <c r="BR5" s="6" t="n"/>
      <c r="BS5" s="6" t="n"/>
      <c r="BT5" s="6" t="n"/>
      <c r="BU5" s="6" t="n"/>
      <c r="BV5" s="6" t="n"/>
      <c r="BW5" s="6" t="n">
        <v>12.2</v>
      </c>
      <c r="BX5" s="6" t="n"/>
      <c r="BY5" s="6" t="n"/>
      <c r="BZ5" s="6" t="n"/>
      <c r="CA5" s="6" t="n"/>
      <c r="CB5" s="6" t="n">
        <v>82000000</v>
      </c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6" t="n"/>
      <c r="CO5" s="6" t="n"/>
      <c r="CP5" s="6" t="n"/>
      <c r="CQ5" s="6" t="n"/>
      <c r="CR5" s="6" t="n">
        <v>15200000</v>
      </c>
      <c r="CS5" s="6" t="n"/>
      <c r="CT5" s="6" t="n"/>
      <c r="CU5" s="6" t="n"/>
      <c r="CV5" s="6" t="n"/>
      <c r="CW5" s="6" t="n"/>
      <c r="CX5" s="6" t="n"/>
      <c r="CY5" s="6" t="n"/>
    </row>
    <row r="6">
      <c r="A6" s="6" t="inlineStr">
        <is>
          <t>atout-pierre-diversification-rapport-annuel-2024.pdf</t>
        </is>
      </c>
      <c r="B6" s="6" t="inlineStr">
        <is>
          <t>2026-01-11T18:11:47.585873</t>
        </is>
      </c>
      <c r="C6" s="6" t="inlineStr">
        <is>
          <t>Excellente</t>
        </is>
      </c>
      <c r="D6" s="6" t="n">
        <v>35</v>
      </c>
      <c r="E6" s="6" t="inlineStr">
        <is>
          <t>Atout Pierre Diversification</t>
        </is>
      </c>
      <c r="F6" s="6" t="inlineStr">
        <is>
          <t>AEW Ciloger</t>
        </is>
      </c>
      <c r="G6" s="6" t="inlineStr">
        <is>
          <t>Diversifiée</t>
        </is>
      </c>
      <c r="H6" s="6" t="n"/>
      <c r="I6" s="6" t="n"/>
      <c r="J6" s="6" t="n"/>
      <c r="K6" s="6" t="n"/>
      <c r="L6" s="6" t="n"/>
      <c r="M6" s="6" t="n"/>
      <c r="N6" s="6" t="n">
        <v>1180000000</v>
      </c>
      <c r="O6" s="6" t="n"/>
      <c r="P6" s="6" t="n">
        <v>268</v>
      </c>
      <c r="Q6" s="6" t="n"/>
      <c r="R6" s="6" t="n"/>
      <c r="S6" s="6" t="n"/>
      <c r="T6" s="6" t="n"/>
      <c r="U6" s="6" t="n"/>
      <c r="V6" s="6" t="n">
        <v>262</v>
      </c>
      <c r="W6" s="6" t="n">
        <v>1050000000</v>
      </c>
      <c r="X6" s="6" t="n"/>
      <c r="Y6" s="6" t="n"/>
      <c r="Z6" s="6" t="n"/>
      <c r="AA6" s="6" t="n">
        <v>4.35</v>
      </c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>
        <v>91.8</v>
      </c>
      <c r="AL6" s="6" t="n">
        <v>91.04702245759077</v>
      </c>
      <c r="AM6" s="6" t="n">
        <v>91.28180871217447</v>
      </c>
      <c r="AN6" s="6" t="n">
        <v>92.09007218926197</v>
      </c>
      <c r="AO6" s="6" t="n">
        <v>92.40539489540406</v>
      </c>
      <c r="AP6" s="6" t="n"/>
      <c r="AQ6" s="6" t="n"/>
      <c r="AR6" s="6" t="n"/>
      <c r="AS6" s="6" t="n">
        <v>95</v>
      </c>
      <c r="AT6" s="6" t="n"/>
      <c r="AU6" s="6" t="n"/>
      <c r="AV6" s="6" t="n">
        <v>285000</v>
      </c>
      <c r="AW6" s="6" t="n"/>
      <c r="AX6" s="6" t="n">
        <v>63.11481346230774</v>
      </c>
      <c r="AY6" s="6" t="n">
        <v>29.5291025774833</v>
      </c>
      <c r="AZ6" s="6" t="n">
        <v>9.744420146406682</v>
      </c>
      <c r="BA6" s="6" t="n"/>
      <c r="BB6" s="6" t="n"/>
      <c r="BC6" s="6" t="n"/>
      <c r="BD6" s="6" t="n"/>
      <c r="BE6" s="6" t="n"/>
      <c r="BF6" s="6" t="n">
        <v>7.587588774387842</v>
      </c>
      <c r="BG6" s="6" t="n">
        <v>19.37518267936806</v>
      </c>
      <c r="BH6" s="6" t="n">
        <v>37.78935026835281</v>
      </c>
      <c r="BI6" s="6" t="n">
        <v>29.55842728694128</v>
      </c>
      <c r="BJ6" s="6" t="n">
        <v>11.26490008431018</v>
      </c>
      <c r="BK6" s="6" t="n"/>
      <c r="BL6" s="6" t="n"/>
      <c r="BM6" s="6" t="n"/>
      <c r="BN6" s="6" t="n"/>
      <c r="BO6" s="6" t="n"/>
      <c r="BP6" s="6" t="n"/>
      <c r="BQ6" s="6" t="n"/>
      <c r="BR6" s="6" t="n"/>
      <c r="BS6" s="6" t="n"/>
      <c r="BT6" s="6" t="n"/>
      <c r="BU6" s="6" t="n"/>
      <c r="BV6" s="6" t="n"/>
      <c r="BW6" s="6" t="n">
        <v>22.5</v>
      </c>
      <c r="BX6" s="6" t="n"/>
      <c r="BY6" s="6" t="n"/>
      <c r="BZ6" s="6" t="n"/>
      <c r="CA6" s="6" t="n"/>
      <c r="CB6" s="6" t="n">
        <v>68000000</v>
      </c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6" t="n"/>
      <c r="CP6" s="6" t="n"/>
      <c r="CQ6" s="6" t="n"/>
      <c r="CR6" s="6" t="n">
        <v>22400000</v>
      </c>
      <c r="CS6" s="6" t="n"/>
      <c r="CT6" s="6" t="n"/>
      <c r="CU6" s="6" t="n"/>
      <c r="CV6" s="6" t="n"/>
      <c r="CW6" s="6" t="n"/>
      <c r="CX6" s="6" t="n"/>
      <c r="CY6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40" customWidth="1" min="3" max="3"/>
    <col width="28" customWidth="1" min="4" max="4"/>
    <col width="28" customWidth="1" min="5" max="5"/>
    <col width="8" customWidth="1" min="6" max="6"/>
    <col width="12" customWidth="1" min="7" max="7"/>
    <col width="12" customWidth="1" min="8" max="8"/>
    <col width="17" customWidth="1" min="9" max="9"/>
    <col width="20" customWidth="1" min="10" max="10"/>
    <col width="20" customWidth="1" min="11" max="11"/>
    <col width="19" customWidth="1" min="12" max="12"/>
    <col width="15" customWidth="1" min="13" max="13"/>
    <col width="15" customWidth="1" min="14" max="14"/>
    <col width="20" customWidth="1" min="15" max="15"/>
    <col width="20" customWidth="1" min="16" max="16"/>
    <col width="20" customWidth="1" min="17" max="17"/>
    <col width="20" customWidth="1" min="18" max="18"/>
    <col width="16" customWidth="1" min="19" max="19"/>
    <col width="49" customWidth="1" min="20" max="20"/>
  </cols>
  <sheetData>
    <row r="1">
      <c r="A1" s="5" t="inlineStr">
        <is>
          <t>SCPI</t>
        </is>
      </c>
      <c r="B1" s="5" t="inlineStr">
        <is>
          <t>ID Actif</t>
        </is>
      </c>
      <c r="C1" s="5" t="inlineStr">
        <is>
          <t>Nom/Adresse</t>
        </is>
      </c>
      <c r="D1" s="5" t="inlineStr">
        <is>
          <t>Ville</t>
        </is>
      </c>
      <c r="E1" s="5" t="inlineStr">
        <is>
          <t>Région</t>
        </is>
      </c>
      <c r="F1" s="5" t="inlineStr">
        <is>
          <t>Pays</t>
        </is>
      </c>
      <c r="G1" s="5" t="inlineStr">
        <is>
          <t>Type</t>
        </is>
      </c>
      <c r="H1" s="5" t="inlineStr">
        <is>
          <t>Surface m²</t>
        </is>
      </c>
      <c r="I1" s="5" t="inlineStr">
        <is>
          <t>Valeur Vénale €</t>
        </is>
      </c>
      <c r="J1" s="5" t="inlineStr">
        <is>
          <t>Prix Acquisition €</t>
        </is>
      </c>
      <c r="K1" s="5" t="inlineStr">
        <is>
          <t>Loyer Annuel €</t>
        </is>
      </c>
      <c r="L1" s="5" t="inlineStr">
        <is>
          <t>TOC %</t>
        </is>
      </c>
      <c r="M1" s="5" t="inlineStr">
        <is>
          <t>Nb Locataires</t>
        </is>
      </c>
      <c r="N1" s="14" t="inlineStr">
        <is>
          <t>CAPEX Total €</t>
        </is>
      </c>
      <c r="O1" s="14" t="inlineStr">
        <is>
          <t>CAPEX Réno €</t>
        </is>
      </c>
      <c r="P1" s="14" t="inlineStr">
        <is>
          <t>CAPEX Entretien €</t>
        </is>
      </c>
      <c r="Q1" s="14" t="inlineStr">
        <is>
          <t>CAPEX Conformité €</t>
        </is>
      </c>
      <c r="R1" s="14" t="inlineStr">
        <is>
          <t>CAPEX Env €</t>
        </is>
      </c>
      <c r="S1" s="5" t="inlineStr">
        <is>
          <t>Statut Travaux</t>
        </is>
      </c>
      <c r="T1" s="5" t="inlineStr">
        <is>
          <t>Description Travaux</t>
        </is>
      </c>
    </row>
    <row r="2">
      <c r="A2" s="6" t="inlineStr">
        <is>
          <t>Rivoli Avenir Patrimoine</t>
        </is>
      </c>
      <c r="B2" s="6" t="inlineStr">
        <is>
          <t>RIV-001</t>
        </is>
      </c>
      <c r="C2" s="6" t="inlineStr">
        <is>
          <t>Immeuble Bordeaux Lac 1</t>
        </is>
      </c>
      <c r="D2" s="6" t="inlineStr">
        <is>
          <t>Bordeaux Lac</t>
        </is>
      </c>
      <c r="E2" s="6" t="inlineStr">
        <is>
          <t>Nouvelle-Aquitaine</t>
        </is>
      </c>
      <c r="F2" s="6" t="inlineStr">
        <is>
          <t>France</t>
        </is>
      </c>
      <c r="G2" s="6" t="inlineStr">
        <is>
          <t>Santé</t>
        </is>
      </c>
      <c r="H2" s="6" t="n">
        <v>4454</v>
      </c>
      <c r="I2" s="9" t="n">
        <v>33511896</v>
      </c>
      <c r="J2" s="9" t="n">
        <v>30027015.93110026</v>
      </c>
      <c r="K2" s="9" t="n">
        <v>1703977.118065665</v>
      </c>
      <c r="L2" s="6" t="n">
        <v>95.75620844366803</v>
      </c>
      <c r="M2" s="6" t="n">
        <v>3</v>
      </c>
      <c r="N2" s="15" t="n">
        <v>2875000</v>
      </c>
      <c r="O2" s="15" t="n">
        <v>1239778.584325039</v>
      </c>
      <c r="P2" s="15" t="n">
        <v>614315.028580812</v>
      </c>
      <c r="Q2" s="15" t="n">
        <v>307204.2209837977</v>
      </c>
      <c r="R2" s="15" t="n">
        <v>363457.6844311339</v>
      </c>
      <c r="S2" s="16" t="inlineStr">
        <is>
          <t>Réalisé</t>
        </is>
      </c>
      <c r="T2" s="16" t="inlineStr">
        <is>
          <t>Remplacement système CVC</t>
        </is>
      </c>
    </row>
    <row r="3">
      <c r="A3" s="6" t="inlineStr">
        <is>
          <t>Rivoli Avenir Patrimoine</t>
        </is>
      </c>
      <c r="B3" s="6" t="inlineStr">
        <is>
          <t>RIV-002</t>
        </is>
      </c>
      <c r="C3" s="6" t="inlineStr">
        <is>
          <t>Immeuble Saint-Denis 2</t>
        </is>
      </c>
      <c r="D3" s="6" t="inlineStr">
        <is>
          <t>Saint-Denis</t>
        </is>
      </c>
      <c r="E3" s="6" t="inlineStr">
        <is>
          <t>Île-de-France</t>
        </is>
      </c>
      <c r="F3" s="6" t="inlineStr">
        <is>
          <t>France</t>
        </is>
      </c>
      <c r="G3" s="6" t="inlineStr">
        <is>
          <t>Activités</t>
        </is>
      </c>
      <c r="H3" s="6" t="n">
        <v>11355</v>
      </c>
      <c r="I3" s="9" t="n">
        <v>77316195</v>
      </c>
      <c r="J3" s="9" t="n">
        <v>69419176.9883471</v>
      </c>
      <c r="K3" s="9" t="n">
        <v>4724415.428709503</v>
      </c>
      <c r="L3" s="6" t="n">
        <v>94.15697258508528</v>
      </c>
      <c r="M3" s="6" t="n">
        <v>7</v>
      </c>
      <c r="N3" s="15" t="n">
        <v>3465126</v>
      </c>
      <c r="O3" s="15" t="n">
        <v>1657501.802728853</v>
      </c>
      <c r="P3" s="15" t="n">
        <v>884523.9065051351</v>
      </c>
      <c r="Q3" s="15" t="n">
        <v>640927.726664201</v>
      </c>
      <c r="R3" s="15" t="n">
        <v>500370.2404120583</v>
      </c>
      <c r="S3" s="16" t="inlineStr">
        <is>
          <t>Planifié</t>
        </is>
      </c>
      <c r="T3" s="16" t="inlineStr">
        <is>
          <t>Remplacement système CVC</t>
        </is>
      </c>
    </row>
    <row r="4">
      <c r="A4" s="6" t="inlineStr">
        <is>
          <t>Rivoli Avenir Patrimoine</t>
        </is>
      </c>
      <c r="B4" s="6" t="inlineStr">
        <is>
          <t>RIV-003</t>
        </is>
      </c>
      <c r="C4" s="6" t="inlineStr">
        <is>
          <t>Immeuble Boulogne-Billancourt 3</t>
        </is>
      </c>
      <c r="D4" s="6" t="inlineStr">
        <is>
          <t>Boulogne-Billancourt</t>
        </is>
      </c>
      <c r="E4" s="6" t="inlineStr">
        <is>
          <t>Île-de-France</t>
        </is>
      </c>
      <c r="F4" s="6" t="inlineStr">
        <is>
          <t>France</t>
        </is>
      </c>
      <c r="G4" s="6" t="inlineStr">
        <is>
          <t>Bureaux</t>
        </is>
      </c>
      <c r="H4" s="6" t="n">
        <v>9653</v>
      </c>
      <c r="I4" s="9" t="n">
        <v>53873393</v>
      </c>
      <c r="J4" s="9" t="n">
        <v>54003522.31908543</v>
      </c>
      <c r="K4" s="9" t="n">
        <v>2444922.75243792</v>
      </c>
      <c r="L4" s="6" t="n">
        <v>89.09498725949786</v>
      </c>
      <c r="M4" s="6" t="n">
        <v>1</v>
      </c>
      <c r="N4" s="15" t="n">
        <v>459785</v>
      </c>
      <c r="O4" s="15" t="n">
        <v>207738.2141372922</v>
      </c>
      <c r="P4" s="15" t="n">
        <v>126928.3259090388</v>
      </c>
      <c r="Q4" s="15" t="n">
        <v>86344.33143487744</v>
      </c>
      <c r="R4" s="15" t="n">
        <v>47872.57194252702</v>
      </c>
      <c r="S4" s="16" t="inlineStr">
        <is>
          <t>En cours</t>
        </is>
      </c>
      <c r="T4" s="16" t="inlineStr">
        <is>
          <t>Réfection toiture et étanchéité</t>
        </is>
      </c>
    </row>
    <row r="5">
      <c r="A5" s="6" t="inlineStr">
        <is>
          <t>Rivoli Avenir Patrimoine</t>
        </is>
      </c>
      <c r="B5" s="6" t="inlineStr">
        <is>
          <t>RIV-004</t>
        </is>
      </c>
      <c r="C5" s="6" t="inlineStr">
        <is>
          <t>Immeuble Lille Euralille 4</t>
        </is>
      </c>
      <c r="D5" s="6" t="inlineStr">
        <is>
          <t>Lille Euralille</t>
        </is>
      </c>
      <c r="E5" s="6" t="inlineStr">
        <is>
          <t>Hauts-de-France</t>
        </is>
      </c>
      <c r="F5" s="6" t="inlineStr">
        <is>
          <t>France</t>
        </is>
      </c>
      <c r="G5" s="6" t="inlineStr">
        <is>
          <t>Activités</t>
        </is>
      </c>
      <c r="H5" s="6" t="n">
        <v>20696</v>
      </c>
      <c r="I5" s="9" t="n">
        <v>148162664</v>
      </c>
      <c r="J5" s="9" t="n">
        <v>133911120.9609014</v>
      </c>
      <c r="K5" s="9" t="n">
        <v>9052080.232690644</v>
      </c>
      <c r="L5" s="6" t="n">
        <v>97.51594230623219</v>
      </c>
      <c r="M5" s="6" t="n">
        <v>14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/>
      <c r="T5" s="6" t="n"/>
    </row>
    <row r="6">
      <c r="A6" s="6" t="inlineStr">
        <is>
          <t>Rivoli Avenir Patrimoine</t>
        </is>
      </c>
      <c r="B6" s="6" t="inlineStr">
        <is>
          <t>RIV-005</t>
        </is>
      </c>
      <c r="C6" s="6" t="inlineStr">
        <is>
          <t>Immeuble Lyon Confluence 5</t>
        </is>
      </c>
      <c r="D6" s="6" t="inlineStr">
        <is>
          <t>Lyon Confluence</t>
        </is>
      </c>
      <c r="E6" s="6" t="inlineStr">
        <is>
          <t>Auvergne-Rhône-Alpes</t>
        </is>
      </c>
      <c r="F6" s="6" t="inlineStr">
        <is>
          <t>France</t>
        </is>
      </c>
      <c r="G6" s="6" t="inlineStr">
        <is>
          <t>Commerces</t>
        </is>
      </c>
      <c r="H6" s="6" t="n">
        <v>14528</v>
      </c>
      <c r="I6" s="9" t="n">
        <v>66378432</v>
      </c>
      <c r="J6" s="9" t="n">
        <v>62635201.02786982</v>
      </c>
      <c r="K6" s="9" t="n">
        <v>3858065.314531878</v>
      </c>
      <c r="L6" s="6" t="n">
        <v>92.93144584896898</v>
      </c>
      <c r="M6" s="6" t="n">
        <v>3</v>
      </c>
      <c r="N6" s="15" t="n">
        <v>411921</v>
      </c>
      <c r="O6" s="15" t="n">
        <v>160597.7260078955</v>
      </c>
      <c r="P6" s="15" t="n">
        <v>56361.08491868855</v>
      </c>
      <c r="Q6" s="15" t="n">
        <v>64147.03890165249</v>
      </c>
      <c r="R6" s="15" t="n">
        <v>26886.97977339039</v>
      </c>
      <c r="S6" s="16" t="inlineStr">
        <is>
          <t>Planifié</t>
        </is>
      </c>
      <c r="T6" s="16" t="inlineStr">
        <is>
          <t>Mise en conformité accessibilité PMR</t>
        </is>
      </c>
    </row>
    <row r="7">
      <c r="A7" s="6" t="inlineStr">
        <is>
          <t>Rivoli Avenir Patrimoine</t>
        </is>
      </c>
      <c r="B7" s="6" t="inlineStr">
        <is>
          <t>RIV-006</t>
        </is>
      </c>
      <c r="C7" s="6" t="inlineStr">
        <is>
          <t>Immeuble Bordeaux Lac 6</t>
        </is>
      </c>
      <c r="D7" s="6" t="inlineStr">
        <is>
          <t>Bordeaux Lac</t>
        </is>
      </c>
      <c r="E7" s="6" t="inlineStr">
        <is>
          <t>Nouvelle-Aquitaine</t>
        </is>
      </c>
      <c r="F7" s="6" t="inlineStr">
        <is>
          <t>France</t>
        </is>
      </c>
      <c r="G7" s="6" t="inlineStr">
        <is>
          <t>Bureaux</t>
        </is>
      </c>
      <c r="H7" s="6" t="n">
        <v>19736</v>
      </c>
      <c r="I7" s="9" t="n">
        <v>148671288</v>
      </c>
      <c r="J7" s="9" t="n">
        <v>155981299.9212578</v>
      </c>
      <c r="K7" s="9" t="n">
        <v>9312877.148877572</v>
      </c>
      <c r="L7" s="6" t="n">
        <v>96.87821461163001</v>
      </c>
      <c r="M7" s="6" t="n">
        <v>2</v>
      </c>
      <c r="N7" s="15" t="n">
        <v>3260459</v>
      </c>
      <c r="O7" s="15" t="n">
        <v>723332.6352947368</v>
      </c>
      <c r="P7" s="15" t="n">
        <v>574566.39169079</v>
      </c>
      <c r="Q7" s="15" t="n">
        <v>430861.972140138</v>
      </c>
      <c r="R7" s="15" t="n">
        <v>177401.6500845695</v>
      </c>
      <c r="S7" s="16" t="inlineStr">
        <is>
          <t>En cours</t>
        </is>
      </c>
      <c r="T7" s="16" t="inlineStr">
        <is>
          <t>Rénovation sanitaires</t>
        </is>
      </c>
    </row>
    <row r="8">
      <c r="A8" s="6" t="inlineStr">
        <is>
          <t>Rivoli Avenir Patrimoine</t>
        </is>
      </c>
      <c r="B8" s="6" t="inlineStr">
        <is>
          <t>RIV-007</t>
        </is>
      </c>
      <c r="C8" s="6" t="inlineStr">
        <is>
          <t>Immeuble Lille Euralille 7</t>
        </is>
      </c>
      <c r="D8" s="6" t="inlineStr">
        <is>
          <t>Lille Euralille</t>
        </is>
      </c>
      <c r="E8" s="6" t="inlineStr">
        <is>
          <t>Hauts-de-France</t>
        </is>
      </c>
      <c r="F8" s="6" t="inlineStr">
        <is>
          <t>France</t>
        </is>
      </c>
      <c r="G8" s="6" t="inlineStr">
        <is>
          <t>Santé</t>
        </is>
      </c>
      <c r="H8" s="6" t="n">
        <v>8894</v>
      </c>
      <c r="I8" s="9" t="n">
        <v>64686062</v>
      </c>
      <c r="J8" s="9" t="n">
        <v>58067738.6657294</v>
      </c>
      <c r="K8" s="9" t="n">
        <v>3430543.601363123</v>
      </c>
      <c r="L8" s="6" t="n">
        <v>93.67960800074455</v>
      </c>
      <c r="M8" s="6" t="n">
        <v>6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/>
      <c r="T8" s="6" t="n"/>
    </row>
    <row r="9">
      <c r="A9" s="6" t="inlineStr">
        <is>
          <t>Rivoli Avenir Patrimoine</t>
        </is>
      </c>
      <c r="B9" s="6" t="inlineStr">
        <is>
          <t>RIV-008</t>
        </is>
      </c>
      <c r="C9" s="6" t="inlineStr">
        <is>
          <t>Immeuble Paris 8ème 8</t>
        </is>
      </c>
      <c r="D9" s="6" t="inlineStr">
        <is>
          <t>Paris 8ème</t>
        </is>
      </c>
      <c r="E9" s="6" t="inlineStr">
        <is>
          <t>Paris</t>
        </is>
      </c>
      <c r="F9" s="6" t="inlineStr">
        <is>
          <t>France</t>
        </is>
      </c>
      <c r="G9" s="6" t="inlineStr">
        <is>
          <t>Bureaux</t>
        </is>
      </c>
      <c r="H9" s="6" t="n">
        <v>20936</v>
      </c>
      <c r="I9" s="9" t="n">
        <v>86444744</v>
      </c>
      <c r="J9" s="9" t="n">
        <v>77070254.78422506</v>
      </c>
      <c r="K9" s="9" t="n">
        <v>4024689.893248435</v>
      </c>
      <c r="L9" s="6" t="n">
        <v>90.72692410266551</v>
      </c>
      <c r="M9" s="6" t="n">
        <v>12</v>
      </c>
      <c r="N9" s="15" t="n">
        <v>538169</v>
      </c>
      <c r="O9" s="15" t="n">
        <v>253586.8535101614</v>
      </c>
      <c r="P9" s="15" t="n">
        <v>113338.1012871171</v>
      </c>
      <c r="Q9" s="15" t="n">
        <v>65429.92242469641</v>
      </c>
      <c r="R9" s="15" t="n">
        <v>65632.52576508676</v>
      </c>
      <c r="S9" s="16" t="inlineStr">
        <is>
          <t>Planifié</t>
        </is>
      </c>
      <c r="T9" s="16" t="inlineStr">
        <is>
          <t>Amélioration performance thermique</t>
        </is>
      </c>
    </row>
    <row r="10">
      <c r="A10" s="6" t="inlineStr">
        <is>
          <t>Rivoli Avenir Patrimoine</t>
        </is>
      </c>
      <c r="B10" s="6" t="inlineStr">
        <is>
          <t>RIV-009</t>
        </is>
      </c>
      <c r="C10" s="6" t="inlineStr">
        <is>
          <t>Immeuble Montpellier 9</t>
        </is>
      </c>
      <c r="D10" s="6" t="inlineStr">
        <is>
          <t>Montpellier</t>
        </is>
      </c>
      <c r="E10" s="6" t="inlineStr">
        <is>
          <t>Occitanie</t>
        </is>
      </c>
      <c r="F10" s="6" t="inlineStr">
        <is>
          <t>France</t>
        </is>
      </c>
      <c r="G10" s="6" t="inlineStr">
        <is>
          <t>Santé</t>
        </is>
      </c>
      <c r="H10" s="6" t="n">
        <v>8861</v>
      </c>
      <c r="I10" s="9" t="n">
        <v>32661646</v>
      </c>
      <c r="J10" s="9" t="n">
        <v>28808579.50273923</v>
      </c>
      <c r="K10" s="9" t="n">
        <v>1898214.627122784</v>
      </c>
      <c r="L10" s="6" t="n">
        <v>99.91045008158535</v>
      </c>
      <c r="M10" s="6" t="n">
        <v>13</v>
      </c>
      <c r="N10" s="15" t="n">
        <v>793483</v>
      </c>
      <c r="O10" s="15" t="n">
        <v>364852.8939790517</v>
      </c>
      <c r="P10" s="15" t="n">
        <v>90107.04530634751</v>
      </c>
      <c r="Q10" s="15" t="n">
        <v>104864.7207098907</v>
      </c>
      <c r="R10" s="15" t="n">
        <v>90001.71075690059</v>
      </c>
      <c r="S10" s="16" t="inlineStr">
        <is>
          <t>Planifié</t>
        </is>
      </c>
      <c r="T10" s="16" t="inlineStr">
        <is>
          <t>Rénovation sanitaires</t>
        </is>
      </c>
    </row>
    <row r="11">
      <c r="A11" s="6" t="inlineStr">
        <is>
          <t>Rivoli Avenir Patrimoine</t>
        </is>
      </c>
      <c r="B11" s="6" t="inlineStr">
        <is>
          <t>RIV-010</t>
        </is>
      </c>
      <c r="C11" s="6" t="inlineStr">
        <is>
          <t>Immeuble Boulogne-Billancourt 10</t>
        </is>
      </c>
      <c r="D11" s="6" t="inlineStr">
        <is>
          <t>Boulogne-Billancourt</t>
        </is>
      </c>
      <c r="E11" s="6" t="inlineStr">
        <is>
          <t>Île-de-France</t>
        </is>
      </c>
      <c r="F11" s="6" t="inlineStr">
        <is>
          <t>France</t>
        </is>
      </c>
      <c r="G11" s="6" t="inlineStr">
        <is>
          <t>Commerces</t>
        </is>
      </c>
      <c r="H11" s="6" t="n">
        <v>21331</v>
      </c>
      <c r="I11" s="9" t="n">
        <v>135963794</v>
      </c>
      <c r="J11" s="9" t="n">
        <v>131931907.5154919</v>
      </c>
      <c r="K11" s="9" t="n">
        <v>8582567.520920344</v>
      </c>
      <c r="L11" s="6" t="n">
        <v>94.15472219704036</v>
      </c>
      <c r="M11" s="6" t="n">
        <v>14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/>
      <c r="T11" s="6" t="n"/>
    </row>
    <row r="12">
      <c r="A12" s="6" t="inlineStr">
        <is>
          <t>Rivoli Avenir Patrimoine</t>
        </is>
      </c>
      <c r="B12" s="6" t="inlineStr">
        <is>
          <t>RIV-011</t>
        </is>
      </c>
      <c r="C12" s="6" t="inlineStr">
        <is>
          <t>Immeuble Levallois-Perret 11</t>
        </is>
      </c>
      <c r="D12" s="6" t="inlineStr">
        <is>
          <t>Levallois-Perret</t>
        </is>
      </c>
      <c r="E12" s="6" t="inlineStr">
        <is>
          <t>Île-de-France</t>
        </is>
      </c>
      <c r="F12" s="6" t="inlineStr">
        <is>
          <t>France</t>
        </is>
      </c>
      <c r="G12" s="6" t="inlineStr">
        <is>
          <t>Bureaux</t>
        </is>
      </c>
      <c r="H12" s="6" t="n">
        <v>16069</v>
      </c>
      <c r="I12" s="9" t="n">
        <v>72471190</v>
      </c>
      <c r="J12" s="9" t="n">
        <v>72114668.72960187</v>
      </c>
      <c r="K12" s="9" t="n">
        <v>3671364.446739288</v>
      </c>
      <c r="L12" s="6" t="n">
        <v>97.31523320119834</v>
      </c>
      <c r="M12" s="6" t="n">
        <v>4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/>
      <c r="T12" s="6" t="n"/>
    </row>
    <row r="13">
      <c r="A13" s="6" t="inlineStr">
        <is>
          <t>Rivoli Avenir Patrimoine</t>
        </is>
      </c>
      <c r="B13" s="6" t="inlineStr">
        <is>
          <t>RIV-012</t>
        </is>
      </c>
      <c r="C13" s="6" t="inlineStr">
        <is>
          <t>Immeuble Rennes 12</t>
        </is>
      </c>
      <c r="D13" s="6" t="inlineStr">
        <is>
          <t>Rennes</t>
        </is>
      </c>
      <c r="E13" s="6" t="inlineStr">
        <is>
          <t>Bretagne</t>
        </is>
      </c>
      <c r="F13" s="6" t="inlineStr">
        <is>
          <t>France</t>
        </is>
      </c>
      <c r="G13" s="6" t="inlineStr">
        <is>
          <t>Commerces</t>
        </is>
      </c>
      <c r="H13" s="6" t="n">
        <v>24982</v>
      </c>
      <c r="I13" s="9" t="n">
        <v>185791134</v>
      </c>
      <c r="J13" s="9" t="n">
        <v>183630478.880699</v>
      </c>
      <c r="K13" s="9" t="n">
        <v>9103291.064403091</v>
      </c>
      <c r="L13" s="6" t="n">
        <v>95.23639739211504</v>
      </c>
      <c r="M13" s="6" t="n">
        <v>1</v>
      </c>
      <c r="N13" s="15" t="n">
        <v>3216048</v>
      </c>
      <c r="O13" s="15" t="n">
        <v>695749.9338141598</v>
      </c>
      <c r="P13" s="15" t="n">
        <v>813341.1796592528</v>
      </c>
      <c r="Q13" s="15" t="n">
        <v>382107.1186305635</v>
      </c>
      <c r="R13" s="15" t="n">
        <v>471489.8989606711</v>
      </c>
      <c r="S13" s="16" t="inlineStr">
        <is>
          <t>Réalisé</t>
        </is>
      </c>
      <c r="T13" s="16" t="inlineStr">
        <is>
          <t>Mise aux normes sécurité incendie</t>
        </is>
      </c>
    </row>
    <row r="14">
      <c r="A14" s="6" t="inlineStr">
        <is>
          <t>Rivoli Avenir Patrimoine</t>
        </is>
      </c>
      <c r="B14" s="6" t="inlineStr">
        <is>
          <t>RIV-013</t>
        </is>
      </c>
      <c r="C14" s="6" t="inlineStr">
        <is>
          <t>Immeuble Toulouse Blagnac 13</t>
        </is>
      </c>
      <c r="D14" s="6" t="inlineStr">
        <is>
          <t>Toulouse Blagnac</t>
        </is>
      </c>
      <c r="E14" s="6" t="inlineStr">
        <is>
          <t>Occitanie</t>
        </is>
      </c>
      <c r="F14" s="6" t="inlineStr">
        <is>
          <t>France</t>
        </is>
      </c>
      <c r="G14" s="6" t="inlineStr">
        <is>
          <t>Santé</t>
        </is>
      </c>
      <c r="H14" s="6" t="n">
        <v>16280</v>
      </c>
      <c r="I14" s="9" t="n">
        <v>56605560</v>
      </c>
      <c r="J14" s="9" t="n">
        <v>56009769.56172083</v>
      </c>
      <c r="K14" s="9" t="n">
        <v>2648073.460290175</v>
      </c>
      <c r="L14" s="6" t="n">
        <v>94.95819906963224</v>
      </c>
      <c r="M14" s="6" t="n">
        <v>9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/>
      <c r="T14" s="6" t="n"/>
    </row>
    <row r="15">
      <c r="A15" s="6" t="inlineStr">
        <is>
          <t>Rivoli Avenir Patrimoine</t>
        </is>
      </c>
      <c r="B15" s="6" t="inlineStr">
        <is>
          <t>RIV-014</t>
        </is>
      </c>
      <c r="C15" s="6" t="inlineStr">
        <is>
          <t>Immeuble Bordeaux Lac 14</t>
        </is>
      </c>
      <c r="D15" s="6" t="inlineStr">
        <is>
          <t>Bordeaux Lac</t>
        </is>
      </c>
      <c r="E15" s="6" t="inlineStr">
        <is>
          <t>Nouvelle-Aquitaine</t>
        </is>
      </c>
      <c r="F15" s="6" t="inlineStr">
        <is>
          <t>France</t>
        </is>
      </c>
      <c r="G15" s="6" t="inlineStr">
        <is>
          <t>Activités</t>
        </is>
      </c>
      <c r="H15" s="6" t="n">
        <v>21917</v>
      </c>
      <c r="I15" s="9" t="n">
        <v>85783138</v>
      </c>
      <c r="J15" s="9" t="n">
        <v>87275159.04127309</v>
      </c>
      <c r="K15" s="9" t="n">
        <v>4435384.497062013</v>
      </c>
      <c r="L15" s="6" t="n">
        <v>85.35376305310051</v>
      </c>
      <c r="M15" s="6" t="n">
        <v>2</v>
      </c>
      <c r="N15" s="15" t="n">
        <v>3120565</v>
      </c>
      <c r="O15" s="15" t="n">
        <v>1274890.653770159</v>
      </c>
      <c r="P15" s="15" t="n">
        <v>581313.9215947547</v>
      </c>
      <c r="Q15" s="15" t="n">
        <v>370821.5163186755</v>
      </c>
      <c r="R15" s="15" t="n">
        <v>279932.9603537667</v>
      </c>
      <c r="S15" s="16" t="inlineStr">
        <is>
          <t>Planifié</t>
        </is>
      </c>
      <c r="T15" s="16" t="inlineStr">
        <is>
          <t>Installation bornes de recharge VE</t>
        </is>
      </c>
    </row>
    <row r="16">
      <c r="A16" s="6" t="inlineStr">
        <is>
          <t>Rivoli Avenir Patrimoine</t>
        </is>
      </c>
      <c r="B16" s="6" t="inlineStr">
        <is>
          <t>RIV-015</t>
        </is>
      </c>
      <c r="C16" s="6" t="inlineStr">
        <is>
          <t>Immeuble Neuilly-sur-Seine 15</t>
        </is>
      </c>
      <c r="D16" s="6" t="inlineStr">
        <is>
          <t>Neuilly-sur-Seine</t>
        </is>
      </c>
      <c r="E16" s="6" t="inlineStr">
        <is>
          <t>Île-de-France</t>
        </is>
      </c>
      <c r="F16" s="6" t="inlineStr">
        <is>
          <t>France</t>
        </is>
      </c>
      <c r="G16" s="6" t="inlineStr">
        <is>
          <t>Commerces</t>
        </is>
      </c>
      <c r="H16" s="6" t="n">
        <v>24754</v>
      </c>
      <c r="I16" s="9" t="n">
        <v>82480328</v>
      </c>
      <c r="J16" s="9" t="n">
        <v>79532617.58844456</v>
      </c>
      <c r="K16" s="9" t="n">
        <v>4800986.017329533</v>
      </c>
      <c r="L16" s="6" t="n">
        <v>86.93631972367332</v>
      </c>
      <c r="M16" s="6" t="n">
        <v>12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/>
      <c r="T16" s="6" t="n"/>
    </row>
    <row r="17">
      <c r="A17" s="6" t="inlineStr">
        <is>
          <t>Rivoli Avenir Patrimoine</t>
        </is>
      </c>
      <c r="B17" s="6" t="inlineStr">
        <is>
          <t>RIV-016</t>
        </is>
      </c>
      <c r="C17" s="6" t="inlineStr">
        <is>
          <t>Immeuble Aix-en-Provence 16</t>
        </is>
      </c>
      <c r="D17" s="6" t="inlineStr">
        <is>
          <t>Aix-en-Provence</t>
        </is>
      </c>
      <c r="E17" s="6" t="inlineStr">
        <is>
          <t>Provence-Alpes-Côte d'Azur</t>
        </is>
      </c>
      <c r="F17" s="6" t="inlineStr">
        <is>
          <t>France</t>
        </is>
      </c>
      <c r="G17" s="6" t="inlineStr">
        <is>
          <t>Santé</t>
        </is>
      </c>
      <c r="H17" s="6" t="n">
        <v>14265</v>
      </c>
      <c r="I17" s="9" t="n">
        <v>67958460</v>
      </c>
      <c r="J17" s="9" t="n">
        <v>62693112.24517323</v>
      </c>
      <c r="K17" s="9" t="n">
        <v>4242339.940843882</v>
      </c>
      <c r="L17" s="6" t="n">
        <v>86.28673258380974</v>
      </c>
      <c r="M17" s="6" t="n">
        <v>13</v>
      </c>
      <c r="N17" s="15" t="n">
        <v>479193</v>
      </c>
      <c r="O17" s="15" t="n">
        <v>197184.9426974741</v>
      </c>
      <c r="P17" s="15" t="n">
        <v>65417.18377729815</v>
      </c>
      <c r="Q17" s="15" t="n">
        <v>79570.53987481663</v>
      </c>
      <c r="R17" s="15" t="n">
        <v>43451.19100970637</v>
      </c>
      <c r="S17" s="16" t="inlineStr">
        <is>
          <t>Planifié</t>
        </is>
      </c>
      <c r="T17" s="16" t="inlineStr">
        <is>
          <t>Mise aux normes sécurité incendie</t>
        </is>
      </c>
    </row>
    <row r="18">
      <c r="A18" s="6" t="inlineStr">
        <is>
          <t>Rivoli Avenir Patrimoine</t>
        </is>
      </c>
      <c r="B18" s="6" t="inlineStr">
        <is>
          <t>RIV-017</t>
        </is>
      </c>
      <c r="C18" s="6" t="inlineStr">
        <is>
          <t>Immeuble Toulouse Labège 17</t>
        </is>
      </c>
      <c r="D18" s="6" t="inlineStr">
        <is>
          <t>Toulouse Labège</t>
        </is>
      </c>
      <c r="E18" s="6" t="inlineStr">
        <is>
          <t>Occitanie</t>
        </is>
      </c>
      <c r="F18" s="6" t="inlineStr">
        <is>
          <t>France</t>
        </is>
      </c>
      <c r="G18" s="6" t="inlineStr">
        <is>
          <t>Activités</t>
        </is>
      </c>
      <c r="H18" s="6" t="n">
        <v>20172</v>
      </c>
      <c r="I18" s="9" t="n">
        <v>66103644</v>
      </c>
      <c r="J18" s="9" t="n">
        <v>61302271.17902705</v>
      </c>
      <c r="K18" s="9" t="n">
        <v>4278779.548026369</v>
      </c>
      <c r="L18" s="6" t="n">
        <v>98.53122878650129</v>
      </c>
      <c r="M18" s="6" t="n">
        <v>11</v>
      </c>
      <c r="N18" s="15" t="n">
        <v>2420104</v>
      </c>
      <c r="O18" s="15" t="n">
        <v>494601.6272876734</v>
      </c>
      <c r="P18" s="15" t="n">
        <v>410831.2162758016</v>
      </c>
      <c r="Q18" s="15" t="n">
        <v>302452.2553757212</v>
      </c>
      <c r="R18" s="15" t="n">
        <v>315119.3132722339</v>
      </c>
      <c r="S18" s="16" t="inlineStr">
        <is>
          <t>En cours</t>
        </is>
      </c>
      <c r="T18" s="16" t="inlineStr">
        <is>
          <t>Réaménagement plateaux de bureaux</t>
        </is>
      </c>
    </row>
    <row r="19">
      <c r="A19" s="6" t="inlineStr">
        <is>
          <t>Rivoli Avenir Patrimoine</t>
        </is>
      </c>
      <c r="B19" s="6" t="inlineStr">
        <is>
          <t>RIV-018</t>
        </is>
      </c>
      <c r="C19" s="6" t="inlineStr">
        <is>
          <t>Immeuble Paris 8ème 18</t>
        </is>
      </c>
      <c r="D19" s="6" t="inlineStr">
        <is>
          <t>Paris 8ème</t>
        </is>
      </c>
      <c r="E19" s="6" t="inlineStr">
        <is>
          <t>Paris</t>
        </is>
      </c>
      <c r="F19" s="6" t="inlineStr">
        <is>
          <t>France</t>
        </is>
      </c>
      <c r="G19" s="6" t="inlineStr">
        <is>
          <t>Logistique</t>
        </is>
      </c>
      <c r="H19" s="6" t="n">
        <v>20489</v>
      </c>
      <c r="I19" s="9" t="n">
        <v>104555367</v>
      </c>
      <c r="J19" s="9" t="n">
        <v>96517665.52353631</v>
      </c>
      <c r="K19" s="9" t="n">
        <v>5211416.733024861</v>
      </c>
      <c r="L19" s="6" t="n">
        <v>88.32770239300636</v>
      </c>
      <c r="M19" s="6" t="n">
        <v>10</v>
      </c>
      <c r="N19" s="15" t="n">
        <v>2405436</v>
      </c>
      <c r="O19" s="15" t="n">
        <v>1058018.830130718</v>
      </c>
      <c r="P19" s="15" t="n">
        <v>297133.7857900577</v>
      </c>
      <c r="Q19" s="15" t="n">
        <v>427977.2808899925</v>
      </c>
      <c r="R19" s="15" t="n">
        <v>129577.7593769317</v>
      </c>
      <c r="S19" s="16" t="inlineStr">
        <is>
          <t>Planifié</t>
        </is>
      </c>
      <c r="T19" s="16" t="inlineStr">
        <is>
          <t>Travaux amiante et désamiantage</t>
        </is>
      </c>
    </row>
    <row r="20">
      <c r="A20" s="6" t="inlineStr">
        <is>
          <t>Rivoli Avenir Patrimoine</t>
        </is>
      </c>
      <c r="B20" s="6" t="inlineStr">
        <is>
          <t>RIV-019</t>
        </is>
      </c>
      <c r="C20" s="6" t="inlineStr">
        <is>
          <t>Immeuble Toulouse Blagnac 19</t>
        </is>
      </c>
      <c r="D20" s="6" t="inlineStr">
        <is>
          <t>Toulouse Blagnac</t>
        </is>
      </c>
      <c r="E20" s="6" t="inlineStr">
        <is>
          <t>Occitanie</t>
        </is>
      </c>
      <c r="F20" s="6" t="inlineStr">
        <is>
          <t>France</t>
        </is>
      </c>
      <c r="G20" s="6" t="inlineStr">
        <is>
          <t>Bureaux</t>
        </is>
      </c>
      <c r="H20" s="6" t="n">
        <v>17616</v>
      </c>
      <c r="I20" s="9" t="n">
        <v>140188128</v>
      </c>
      <c r="J20" s="9" t="n">
        <v>147047980.9238726</v>
      </c>
      <c r="K20" s="9" t="n">
        <v>8658788.181703003</v>
      </c>
      <c r="L20" s="6" t="n">
        <v>92.69805712181659</v>
      </c>
      <c r="M20" s="6" t="n">
        <v>12</v>
      </c>
      <c r="N20" s="15" t="n">
        <v>1079103</v>
      </c>
      <c r="O20" s="15" t="n">
        <v>488470.6143209309</v>
      </c>
      <c r="P20" s="15" t="n">
        <v>185259.5473865577</v>
      </c>
      <c r="Q20" s="15" t="n">
        <v>214839.7947354405</v>
      </c>
      <c r="R20" s="15" t="n">
        <v>58929.31619260201</v>
      </c>
      <c r="S20" s="16" t="inlineStr">
        <is>
          <t>Réalisé</t>
        </is>
      </c>
      <c r="T20" s="16" t="inlineStr">
        <is>
          <t>Création espaces verts et terrasses</t>
        </is>
      </c>
    </row>
    <row r="21">
      <c r="A21" s="6" t="inlineStr">
        <is>
          <t>Rivoli Avenir Patrimoine</t>
        </is>
      </c>
      <c r="B21" s="6" t="inlineStr">
        <is>
          <t>RIV-020</t>
        </is>
      </c>
      <c r="C21" s="6" t="inlineStr">
        <is>
          <t>Immeuble Levallois-Perret 20</t>
        </is>
      </c>
      <c r="D21" s="6" t="inlineStr">
        <is>
          <t>Levallois-Perret</t>
        </is>
      </c>
      <c r="E21" s="6" t="inlineStr">
        <is>
          <t>Île-de-France</t>
        </is>
      </c>
      <c r="F21" s="6" t="inlineStr">
        <is>
          <t>France</t>
        </is>
      </c>
      <c r="G21" s="6" t="inlineStr">
        <is>
          <t>Bureaux</t>
        </is>
      </c>
      <c r="H21" s="6" t="n">
        <v>14476</v>
      </c>
      <c r="I21" s="9" t="n">
        <v>44166276</v>
      </c>
      <c r="J21" s="9" t="n">
        <v>39026332.96270484</v>
      </c>
      <c r="K21" s="9" t="n">
        <v>2512586.452795801</v>
      </c>
      <c r="L21" s="6" t="n">
        <v>99.95129491324759</v>
      </c>
      <c r="M21" s="6" t="n">
        <v>14</v>
      </c>
      <c r="N21" s="15" t="n">
        <v>2612760</v>
      </c>
      <c r="O21" s="15" t="n">
        <v>538472.4031236947</v>
      </c>
      <c r="P21" s="15" t="n">
        <v>638334.9955866032</v>
      </c>
      <c r="Q21" s="15" t="n">
        <v>316718.2312740693</v>
      </c>
      <c r="R21" s="15" t="n">
        <v>184488.1949482551</v>
      </c>
      <c r="S21" s="16" t="inlineStr">
        <is>
          <t>Planifié</t>
        </is>
      </c>
      <c r="T21" s="16" t="inlineStr">
        <is>
          <t>Remplacement système CVC</t>
        </is>
      </c>
    </row>
    <row r="22">
      <c r="A22" s="6" t="inlineStr">
        <is>
          <t>Rivoli Avenir Patrimoine</t>
        </is>
      </c>
      <c r="B22" s="6" t="inlineStr">
        <is>
          <t>RIV-021</t>
        </is>
      </c>
      <c r="C22" s="6" t="inlineStr">
        <is>
          <t>Immeuble Rennes 21</t>
        </is>
      </c>
      <c r="D22" s="6" t="inlineStr">
        <is>
          <t>Rennes</t>
        </is>
      </c>
      <c r="E22" s="6" t="inlineStr">
        <is>
          <t>Bretagne</t>
        </is>
      </c>
      <c r="F22" s="6" t="inlineStr">
        <is>
          <t>France</t>
        </is>
      </c>
      <c r="G22" s="6" t="inlineStr">
        <is>
          <t>Bureaux</t>
        </is>
      </c>
      <c r="H22" s="6" t="n">
        <v>11116</v>
      </c>
      <c r="I22" s="9" t="n">
        <v>54935272</v>
      </c>
      <c r="J22" s="9" t="n">
        <v>48465180.64903947</v>
      </c>
      <c r="K22" s="9" t="n">
        <v>2715694.614992879</v>
      </c>
      <c r="L22" s="6" t="n">
        <v>95.42645533662451</v>
      </c>
      <c r="M22" s="6" t="n">
        <v>14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/>
      <c r="T22" s="6" t="n"/>
    </row>
    <row r="23">
      <c r="A23" s="6" t="inlineStr">
        <is>
          <t>Rivoli Avenir Patrimoine</t>
        </is>
      </c>
      <c r="B23" s="6" t="inlineStr">
        <is>
          <t>RIV-022</t>
        </is>
      </c>
      <c r="C23" s="6" t="inlineStr">
        <is>
          <t>Immeuble La Défense 22</t>
        </is>
      </c>
      <c r="D23" s="6" t="inlineStr">
        <is>
          <t>La Défense</t>
        </is>
      </c>
      <c r="E23" s="6" t="inlineStr">
        <is>
          <t>Île-de-France</t>
        </is>
      </c>
      <c r="F23" s="6" t="inlineStr">
        <is>
          <t>France</t>
        </is>
      </c>
      <c r="G23" s="6" t="inlineStr">
        <is>
          <t>Activités</t>
        </is>
      </c>
      <c r="H23" s="6" t="n">
        <v>19903</v>
      </c>
      <c r="I23" s="9" t="n">
        <v>116293229</v>
      </c>
      <c r="J23" s="9" t="n">
        <v>108758592.3455681</v>
      </c>
      <c r="K23" s="9" t="n">
        <v>7279588.538011787</v>
      </c>
      <c r="L23" s="6" t="n">
        <v>93.80284568708491</v>
      </c>
      <c r="M23" s="6" t="n">
        <v>4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0</v>
      </c>
      <c r="S23" s="6" t="n"/>
      <c r="T23" s="6" t="n"/>
    </row>
    <row r="24">
      <c r="A24" s="6" t="inlineStr">
        <is>
          <t>Aestiam Placement Pierre</t>
        </is>
      </c>
      <c r="B24" s="6" t="inlineStr">
        <is>
          <t>AES-001</t>
        </is>
      </c>
      <c r="C24" s="6" t="inlineStr">
        <is>
          <t>Immeuble Saint-Denis 1</t>
        </is>
      </c>
      <c r="D24" s="6" t="inlineStr">
        <is>
          <t>Saint-Denis</t>
        </is>
      </c>
      <c r="E24" s="6" t="inlineStr">
        <is>
          <t>Île-de-France</t>
        </is>
      </c>
      <c r="F24" s="6" t="inlineStr">
        <is>
          <t>France</t>
        </is>
      </c>
      <c r="G24" s="6" t="inlineStr">
        <is>
          <t>Logistique</t>
        </is>
      </c>
      <c r="H24" s="6" t="n">
        <v>16516</v>
      </c>
      <c r="I24" s="9" t="n">
        <v>72637368</v>
      </c>
      <c r="J24" s="9" t="n">
        <v>62875953.62515039</v>
      </c>
      <c r="K24" s="9" t="n">
        <v>4215262.2548548</v>
      </c>
      <c r="L24" s="6" t="n">
        <v>92.43442155231348</v>
      </c>
      <c r="M24" s="6" t="n">
        <v>10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/>
      <c r="T24" s="6" t="n"/>
    </row>
    <row r="25">
      <c r="A25" s="6" t="inlineStr">
        <is>
          <t>Aestiam Placement Pierre</t>
        </is>
      </c>
      <c r="B25" s="6" t="inlineStr">
        <is>
          <t>AES-002</t>
        </is>
      </c>
      <c r="C25" s="6" t="inlineStr">
        <is>
          <t>Immeuble Aix-en-Provence 2</t>
        </is>
      </c>
      <c r="D25" s="6" t="inlineStr">
        <is>
          <t>Aix-en-Provence</t>
        </is>
      </c>
      <c r="E25" s="6" t="inlineStr">
        <is>
          <t>Provence-Alpes-Côte d'Azur</t>
        </is>
      </c>
      <c r="F25" s="6" t="inlineStr">
        <is>
          <t>France</t>
        </is>
      </c>
      <c r="G25" s="6" t="inlineStr">
        <is>
          <t>Santé</t>
        </is>
      </c>
      <c r="H25" s="6" t="n">
        <v>20521</v>
      </c>
      <c r="I25" s="9" t="n">
        <v>163757580</v>
      </c>
      <c r="J25" s="9" t="n">
        <v>144695546.1427206</v>
      </c>
      <c r="K25" s="9" t="n">
        <v>9364508.814387541</v>
      </c>
      <c r="L25" s="6" t="n">
        <v>88.90724329641779</v>
      </c>
      <c r="M25" s="6" t="n">
        <v>12</v>
      </c>
      <c r="N25" s="6" t="n">
        <v>0</v>
      </c>
      <c r="O25" s="6" t="n">
        <v>0</v>
      </c>
      <c r="P25" s="6" t="n">
        <v>0</v>
      </c>
      <c r="Q25" s="6" t="n">
        <v>0</v>
      </c>
      <c r="R25" s="6" t="n">
        <v>0</v>
      </c>
      <c r="S25" s="6" t="n"/>
      <c r="T25" s="6" t="n"/>
    </row>
    <row r="26">
      <c r="A26" s="6" t="inlineStr">
        <is>
          <t>Aestiam Placement Pierre</t>
        </is>
      </c>
      <c r="B26" s="6" t="inlineStr">
        <is>
          <t>AES-003</t>
        </is>
      </c>
      <c r="C26" s="6" t="inlineStr">
        <is>
          <t>Immeuble Neuilly-sur-Seine 3</t>
        </is>
      </c>
      <c r="D26" s="6" t="inlineStr">
        <is>
          <t>Neuilly-sur-Seine</t>
        </is>
      </c>
      <c r="E26" s="6" t="inlineStr">
        <is>
          <t>Île-de-France</t>
        </is>
      </c>
      <c r="F26" s="6" t="inlineStr">
        <is>
          <t>France</t>
        </is>
      </c>
      <c r="G26" s="6" t="inlineStr">
        <is>
          <t>Logistique</t>
        </is>
      </c>
      <c r="H26" s="6" t="n">
        <v>10795</v>
      </c>
      <c r="I26" s="9" t="n">
        <v>85938995</v>
      </c>
      <c r="J26" s="9" t="n">
        <v>82151957.77871695</v>
      </c>
      <c r="K26" s="9" t="n">
        <v>4462735.873712339</v>
      </c>
      <c r="L26" s="6" t="n">
        <v>88.80249727128464</v>
      </c>
      <c r="M26" s="6" t="n">
        <v>9</v>
      </c>
      <c r="N26" s="15" t="n">
        <v>764224</v>
      </c>
      <c r="O26" s="15" t="n">
        <v>214207.099069817</v>
      </c>
      <c r="P26" s="15" t="n">
        <v>159129.7321748873</v>
      </c>
      <c r="Q26" s="15" t="n">
        <v>138357.3874495033</v>
      </c>
      <c r="R26" s="15" t="n">
        <v>101765.7726261668</v>
      </c>
      <c r="S26" s="16" t="inlineStr">
        <is>
          <t>Réalisé</t>
        </is>
      </c>
      <c r="T26" s="16" t="inlineStr">
        <is>
          <t>Amélioration performance thermique</t>
        </is>
      </c>
    </row>
    <row r="27">
      <c r="A27" s="6" t="inlineStr">
        <is>
          <t>Aestiam Placement Pierre</t>
        </is>
      </c>
      <c r="B27" s="6" t="inlineStr">
        <is>
          <t>AES-004</t>
        </is>
      </c>
      <c r="C27" s="6" t="inlineStr">
        <is>
          <t>Immeuble Toulouse Blagnac 4</t>
        </is>
      </c>
      <c r="D27" s="6" t="inlineStr">
        <is>
          <t>Toulouse Blagnac</t>
        </is>
      </c>
      <c r="E27" s="6" t="inlineStr">
        <is>
          <t>Occitanie</t>
        </is>
      </c>
      <c r="F27" s="6" t="inlineStr">
        <is>
          <t>France</t>
        </is>
      </c>
      <c r="G27" s="6" t="inlineStr">
        <is>
          <t>Bureaux</t>
        </is>
      </c>
      <c r="H27" s="6" t="n">
        <v>16157</v>
      </c>
      <c r="I27" s="9" t="n">
        <v>85098919</v>
      </c>
      <c r="J27" s="9" t="n">
        <v>78904073.66215557</v>
      </c>
      <c r="K27" s="9" t="n">
        <v>4168562.261804821</v>
      </c>
      <c r="L27" s="6" t="n">
        <v>95.84321886506108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/>
      <c r="T27" s="6" t="n"/>
    </row>
    <row r="28">
      <c r="A28" s="6" t="inlineStr">
        <is>
          <t>Aestiam Placement Pierre</t>
        </is>
      </c>
      <c r="B28" s="6" t="inlineStr">
        <is>
          <t>AES-005</t>
        </is>
      </c>
      <c r="C28" s="6" t="inlineStr">
        <is>
          <t>Immeuble Toulouse Blagnac 5</t>
        </is>
      </c>
      <c r="D28" s="6" t="inlineStr">
        <is>
          <t>Toulouse Blagnac</t>
        </is>
      </c>
      <c r="E28" s="6" t="inlineStr">
        <is>
          <t>Occitanie</t>
        </is>
      </c>
      <c r="F28" s="6" t="inlineStr">
        <is>
          <t>France</t>
        </is>
      </c>
      <c r="G28" s="6" t="inlineStr">
        <is>
          <t>Logistique</t>
        </is>
      </c>
      <c r="H28" s="6" t="n">
        <v>5881</v>
      </c>
      <c r="I28" s="9" t="n">
        <v>27064362</v>
      </c>
      <c r="J28" s="9" t="n">
        <v>27098492.24964041</v>
      </c>
      <c r="K28" s="9" t="n">
        <v>1461649.989350575</v>
      </c>
      <c r="L28" s="6" t="n">
        <v>93.29914690640676</v>
      </c>
      <c r="M28" s="6" t="n">
        <v>15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/>
      <c r="T28" s="6" t="n"/>
    </row>
    <row r="29">
      <c r="A29" s="6" t="inlineStr">
        <is>
          <t>Aestiam Placement Pierre</t>
        </is>
      </c>
      <c r="B29" s="6" t="inlineStr">
        <is>
          <t>AES-006</t>
        </is>
      </c>
      <c r="C29" s="6" t="inlineStr">
        <is>
          <t>Immeuble Saint-Denis 6</t>
        </is>
      </c>
      <c r="D29" s="6" t="inlineStr">
        <is>
          <t>Saint-Denis</t>
        </is>
      </c>
      <c r="E29" s="6" t="inlineStr">
        <is>
          <t>Île-de-France</t>
        </is>
      </c>
      <c r="F29" s="6" t="inlineStr">
        <is>
          <t>France</t>
        </is>
      </c>
      <c r="G29" s="6" t="inlineStr">
        <is>
          <t>Logistique</t>
        </is>
      </c>
      <c r="H29" s="6" t="n">
        <v>21389</v>
      </c>
      <c r="I29" s="9" t="n">
        <v>98218288</v>
      </c>
      <c r="J29" s="9" t="n">
        <v>92593755.3325644</v>
      </c>
      <c r="K29" s="9" t="n">
        <v>6209283.623341189</v>
      </c>
      <c r="L29" s="6" t="n">
        <v>85.19141101187927</v>
      </c>
      <c r="M29" s="6" t="n">
        <v>15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/>
      <c r="T29" s="6" t="n"/>
    </row>
    <row r="30">
      <c r="A30" s="6" t="inlineStr">
        <is>
          <t>Aestiam Placement Pierre</t>
        </is>
      </c>
      <c r="B30" s="6" t="inlineStr">
        <is>
          <t>AES-007</t>
        </is>
      </c>
      <c r="C30" s="6" t="inlineStr">
        <is>
          <t>Immeuble Bordeaux Euratlantique 7</t>
        </is>
      </c>
      <c r="D30" s="6" t="inlineStr">
        <is>
          <t>Bordeaux Euratlantique</t>
        </is>
      </c>
      <c r="E30" s="6" t="inlineStr">
        <is>
          <t>Nouvelle-Aquitaine</t>
        </is>
      </c>
      <c r="F30" s="6" t="inlineStr">
        <is>
          <t>France</t>
        </is>
      </c>
      <c r="G30" s="6" t="inlineStr">
        <is>
          <t>Logistique</t>
        </is>
      </c>
      <c r="H30" s="6" t="n">
        <v>17526</v>
      </c>
      <c r="I30" s="9" t="n">
        <v>132198618</v>
      </c>
      <c r="J30" s="9" t="n">
        <v>117528402.5363155</v>
      </c>
      <c r="K30" s="9" t="n">
        <v>6079061.283536194</v>
      </c>
      <c r="L30" s="6" t="n">
        <v>91.12088684854466</v>
      </c>
      <c r="M30" s="6" t="n">
        <v>14</v>
      </c>
      <c r="N30" s="15" t="n">
        <v>1874041</v>
      </c>
      <c r="O30" s="15" t="n">
        <v>566927.4322168995</v>
      </c>
      <c r="P30" s="15" t="n">
        <v>254940.8261914042</v>
      </c>
      <c r="Q30" s="15" t="n">
        <v>188414.9691695733</v>
      </c>
      <c r="R30" s="15" t="n">
        <v>128227.7773077945</v>
      </c>
      <c r="S30" s="16" t="inlineStr">
        <is>
          <t>En cours</t>
        </is>
      </c>
      <c r="T30" s="16" t="inlineStr">
        <is>
          <t>Installation bornes de recharge VE</t>
        </is>
      </c>
    </row>
    <row r="31">
      <c r="A31" s="6" t="inlineStr">
        <is>
          <t>Aestiam Placement Pierre</t>
        </is>
      </c>
      <c r="B31" s="6" t="inlineStr">
        <is>
          <t>AES-008</t>
        </is>
      </c>
      <c r="C31" s="6" t="inlineStr">
        <is>
          <t>Immeuble Levallois-Perret 8</t>
        </is>
      </c>
      <c r="D31" s="6" t="inlineStr">
        <is>
          <t>Levallois-Perret</t>
        </is>
      </c>
      <c r="E31" s="6" t="inlineStr">
        <is>
          <t>Île-de-France</t>
        </is>
      </c>
      <c r="F31" s="6" t="inlineStr">
        <is>
          <t>France</t>
        </is>
      </c>
      <c r="G31" s="6" t="inlineStr">
        <is>
          <t>Bureaux</t>
        </is>
      </c>
      <c r="H31" s="6" t="n">
        <v>9190</v>
      </c>
      <c r="I31" s="9" t="n">
        <v>67941670</v>
      </c>
      <c r="J31" s="9" t="n">
        <v>62747526.95403548</v>
      </c>
      <c r="K31" s="9" t="n">
        <v>3856373.166018014</v>
      </c>
      <c r="L31" s="6" t="n">
        <v>99.96654586742521</v>
      </c>
      <c r="M31" s="6" t="n">
        <v>10</v>
      </c>
      <c r="N31" s="15" t="n">
        <v>2569308</v>
      </c>
      <c r="O31" s="15" t="n">
        <v>1045471.785327885</v>
      </c>
      <c r="P31" s="15" t="n">
        <v>427199.6815110212</v>
      </c>
      <c r="Q31" s="15" t="n">
        <v>327505.615801701</v>
      </c>
      <c r="R31" s="15" t="n">
        <v>307917.4810280793</v>
      </c>
      <c r="S31" s="16" t="inlineStr">
        <is>
          <t>En cours</t>
        </is>
      </c>
      <c r="T31" s="16" t="inlineStr">
        <is>
          <t>Réaménagement plateaux de bureaux</t>
        </is>
      </c>
    </row>
    <row r="32">
      <c r="A32" s="6" t="inlineStr">
        <is>
          <t>Aestiam Placement Pierre</t>
        </is>
      </c>
      <c r="B32" s="6" t="inlineStr">
        <is>
          <t>AES-009</t>
        </is>
      </c>
      <c r="C32" s="6" t="inlineStr">
        <is>
          <t>Immeuble Aix-en-Provence 9</t>
        </is>
      </c>
      <c r="D32" s="6" t="inlineStr">
        <is>
          <t>Aix-en-Provence</t>
        </is>
      </c>
      <c r="E32" s="6" t="inlineStr">
        <is>
          <t>Provence-Alpes-Côte d'Azur</t>
        </is>
      </c>
      <c r="F32" s="6" t="inlineStr">
        <is>
          <t>France</t>
        </is>
      </c>
      <c r="G32" s="6" t="inlineStr">
        <is>
          <t>Commerces</t>
        </is>
      </c>
      <c r="H32" s="6" t="n">
        <v>24856</v>
      </c>
      <c r="I32" s="9" t="n">
        <v>150776496</v>
      </c>
      <c r="J32" s="9" t="n">
        <v>140499552.3639408</v>
      </c>
      <c r="K32" s="9" t="n">
        <v>7776610.151332484</v>
      </c>
      <c r="L32" s="6" t="n">
        <v>97.5379713115794</v>
      </c>
      <c r="M32" s="6" t="n">
        <v>9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/>
      <c r="T32" s="6" t="n"/>
    </row>
    <row r="33">
      <c r="A33" s="6" t="inlineStr">
        <is>
          <t>Aestiam Placement Pierre</t>
        </is>
      </c>
      <c r="B33" s="6" t="inlineStr">
        <is>
          <t>AES-010</t>
        </is>
      </c>
      <c r="C33" s="6" t="inlineStr">
        <is>
          <t>Immeuble Lille Euralille 10</t>
        </is>
      </c>
      <c r="D33" s="6" t="inlineStr">
        <is>
          <t>Lille Euralille</t>
        </is>
      </c>
      <c r="E33" s="6" t="inlineStr">
        <is>
          <t>Hauts-de-France</t>
        </is>
      </c>
      <c r="F33" s="6" t="inlineStr">
        <is>
          <t>France</t>
        </is>
      </c>
      <c r="G33" s="6" t="inlineStr">
        <is>
          <t>Activités</t>
        </is>
      </c>
      <c r="H33" s="6" t="n">
        <v>24926</v>
      </c>
      <c r="I33" s="9" t="n">
        <v>84773326</v>
      </c>
      <c r="J33" s="9" t="n">
        <v>88257045.64676781</v>
      </c>
      <c r="K33" s="9" t="n">
        <v>4096120.335372864</v>
      </c>
      <c r="L33" s="6" t="n">
        <v>88.79764447023504</v>
      </c>
      <c r="M33" s="6" t="n">
        <v>15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/>
      <c r="T33" s="6" t="n"/>
    </row>
    <row r="34">
      <c r="A34" s="6" t="inlineStr">
        <is>
          <t>Aestiam Placement Pierre</t>
        </is>
      </c>
      <c r="B34" s="6" t="inlineStr">
        <is>
          <t>AES-011</t>
        </is>
      </c>
      <c r="C34" s="6" t="inlineStr">
        <is>
          <t>Immeuble Levallois-Perret 11</t>
        </is>
      </c>
      <c r="D34" s="6" t="inlineStr">
        <is>
          <t>Levallois-Perret</t>
        </is>
      </c>
      <c r="E34" s="6" t="inlineStr">
        <is>
          <t>Île-de-France</t>
        </is>
      </c>
      <c r="F34" s="6" t="inlineStr">
        <is>
          <t>France</t>
        </is>
      </c>
      <c r="G34" s="6" t="inlineStr">
        <is>
          <t>Activités</t>
        </is>
      </c>
      <c r="H34" s="6" t="n">
        <v>10725</v>
      </c>
      <c r="I34" s="9" t="n">
        <v>67599675</v>
      </c>
      <c r="J34" s="9" t="n">
        <v>62457221.65858274</v>
      </c>
      <c r="K34" s="9" t="n">
        <v>3244057.631148094</v>
      </c>
      <c r="L34" s="6" t="n">
        <v>88.61967746437786</v>
      </c>
      <c r="M34" s="6" t="n">
        <v>3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/>
      <c r="T34" s="6" t="n"/>
    </row>
    <row r="35">
      <c r="A35" s="6" t="inlineStr">
        <is>
          <t>Aestiam Placement Pierre</t>
        </is>
      </c>
      <c r="B35" s="6" t="inlineStr">
        <is>
          <t>AES-012</t>
        </is>
      </c>
      <c r="C35" s="6" t="inlineStr">
        <is>
          <t>Immeuble Issy-les-Moulineaux 12</t>
        </is>
      </c>
      <c r="D35" s="6" t="inlineStr">
        <is>
          <t>Issy-les-Moulineaux</t>
        </is>
      </c>
      <c r="E35" s="6" t="inlineStr">
        <is>
          <t>Île-de-France</t>
        </is>
      </c>
      <c r="F35" s="6" t="inlineStr">
        <is>
          <t>France</t>
        </is>
      </c>
      <c r="G35" s="6" t="inlineStr">
        <is>
          <t>Bureaux</t>
        </is>
      </c>
      <c r="H35" s="6" t="n">
        <v>3238</v>
      </c>
      <c r="I35" s="9" t="n">
        <v>16662748</v>
      </c>
      <c r="J35" s="9" t="n">
        <v>17289073.54182257</v>
      </c>
      <c r="K35" s="9" t="n">
        <v>990604.2805011696</v>
      </c>
      <c r="L35" s="6" t="n">
        <v>97.43668908995424</v>
      </c>
      <c r="M35" s="6" t="n">
        <v>9</v>
      </c>
      <c r="N35" s="15" t="n">
        <v>2070557</v>
      </c>
      <c r="O35" s="15" t="n">
        <v>859977.7262511768</v>
      </c>
      <c r="P35" s="15" t="n">
        <v>389913.8428378039</v>
      </c>
      <c r="Q35" s="15" t="n">
        <v>353880.7331783986</v>
      </c>
      <c r="R35" s="15" t="n">
        <v>245378.9155168881</v>
      </c>
      <c r="S35" s="16" t="inlineStr">
        <is>
          <t>En cours</t>
        </is>
      </c>
      <c r="T35" s="16" t="inlineStr">
        <is>
          <t>Remplacement système CVC</t>
        </is>
      </c>
    </row>
    <row r="36">
      <c r="A36" s="6" t="inlineStr">
        <is>
          <t>Aestiam Placement Pierre</t>
        </is>
      </c>
      <c r="B36" s="6" t="inlineStr">
        <is>
          <t>AES-013</t>
        </is>
      </c>
      <c r="C36" s="6" t="inlineStr">
        <is>
          <t>Immeuble Lille Euralille 13</t>
        </is>
      </c>
      <c r="D36" s="6" t="inlineStr">
        <is>
          <t>Lille Euralille</t>
        </is>
      </c>
      <c r="E36" s="6" t="inlineStr">
        <is>
          <t>Hauts-de-France</t>
        </is>
      </c>
      <c r="F36" s="6" t="inlineStr">
        <is>
          <t>France</t>
        </is>
      </c>
      <c r="G36" s="6" t="inlineStr">
        <is>
          <t>Logistique</t>
        </is>
      </c>
      <c r="H36" s="6" t="n">
        <v>14792</v>
      </c>
      <c r="I36" s="9" t="n">
        <v>106901784</v>
      </c>
      <c r="J36" s="9" t="n">
        <v>98330721.24413888</v>
      </c>
      <c r="K36" s="9" t="n">
        <v>6055815.710760769</v>
      </c>
      <c r="L36" s="6" t="n">
        <v>97.01735099075611</v>
      </c>
      <c r="M36" s="6" t="n">
        <v>9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/>
      <c r="T36" s="6" t="n"/>
    </row>
    <row r="37">
      <c r="A37" s="6" t="inlineStr">
        <is>
          <t>Aestiam Placement Pierre</t>
        </is>
      </c>
      <c r="B37" s="6" t="inlineStr">
        <is>
          <t>AES-014</t>
        </is>
      </c>
      <c r="C37" s="6" t="inlineStr">
        <is>
          <t>Immeuble Bordeaux Lac 14</t>
        </is>
      </c>
      <c r="D37" s="6" t="inlineStr">
        <is>
          <t>Bordeaux Lac</t>
        </is>
      </c>
      <c r="E37" s="6" t="inlineStr">
        <is>
          <t>Nouvelle-Aquitaine</t>
        </is>
      </c>
      <c r="F37" s="6" t="inlineStr">
        <is>
          <t>France</t>
        </is>
      </c>
      <c r="G37" s="6" t="inlineStr">
        <is>
          <t>Logistique</t>
        </is>
      </c>
      <c r="H37" s="6" t="n">
        <v>23309</v>
      </c>
      <c r="I37" s="9" t="n">
        <v>162487039</v>
      </c>
      <c r="J37" s="9" t="n">
        <v>141029079.2159103</v>
      </c>
      <c r="K37" s="9" t="n">
        <v>7456674.062926241</v>
      </c>
      <c r="L37" s="6" t="n">
        <v>92.35908286575865</v>
      </c>
      <c r="M37" s="6" t="n">
        <v>6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/>
      <c r="T37" s="6" t="n"/>
    </row>
    <row r="38">
      <c r="A38" s="6" t="inlineStr">
        <is>
          <t>Aestiam Placement Pierre</t>
        </is>
      </c>
      <c r="B38" s="6" t="inlineStr">
        <is>
          <t>AES-015</t>
        </is>
      </c>
      <c r="C38" s="6" t="inlineStr">
        <is>
          <t>Immeuble Rennes 15</t>
        </is>
      </c>
      <c r="D38" s="6" t="inlineStr">
        <is>
          <t>Rennes</t>
        </is>
      </c>
      <c r="E38" s="6" t="inlineStr">
        <is>
          <t>Bretagne</t>
        </is>
      </c>
      <c r="F38" s="6" t="inlineStr">
        <is>
          <t>France</t>
        </is>
      </c>
      <c r="G38" s="6" t="inlineStr">
        <is>
          <t>Bureaux</t>
        </is>
      </c>
      <c r="H38" s="6" t="n">
        <v>16968</v>
      </c>
      <c r="I38" s="9" t="n">
        <v>122322312</v>
      </c>
      <c r="J38" s="9" t="n">
        <v>124823489.129601</v>
      </c>
      <c r="K38" s="9" t="n">
        <v>6233153.491417926</v>
      </c>
      <c r="L38" s="6" t="n">
        <v>96.11957989733027</v>
      </c>
      <c r="M38" s="6" t="n">
        <v>9</v>
      </c>
      <c r="N38" s="15" t="n">
        <v>2108655</v>
      </c>
      <c r="O38" s="15" t="n">
        <v>1033781.425710789</v>
      </c>
      <c r="P38" s="15" t="n">
        <v>233933.6267293698</v>
      </c>
      <c r="Q38" s="15" t="n">
        <v>228752.0365321544</v>
      </c>
      <c r="R38" s="15" t="n">
        <v>163036.9804036026</v>
      </c>
      <c r="S38" s="16" t="inlineStr">
        <is>
          <t>Planifié</t>
        </is>
      </c>
      <c r="T38" s="16" t="inlineStr">
        <is>
          <t>Rénovation parties communes</t>
        </is>
      </c>
    </row>
    <row r="39">
      <c r="A39" s="6" t="inlineStr">
        <is>
          <t>Aestiam Placement Pierre</t>
        </is>
      </c>
      <c r="B39" s="6" t="inlineStr">
        <is>
          <t>AES-016</t>
        </is>
      </c>
      <c r="C39" s="6" t="inlineStr">
        <is>
          <t>Immeuble Bordeaux Euratlantique 16</t>
        </is>
      </c>
      <c r="D39" s="6" t="inlineStr">
        <is>
          <t>Bordeaux Euratlantique</t>
        </is>
      </c>
      <c r="E39" s="6" t="inlineStr">
        <is>
          <t>Nouvelle-Aquitaine</t>
        </is>
      </c>
      <c r="F39" s="6" t="inlineStr">
        <is>
          <t>France</t>
        </is>
      </c>
      <c r="G39" s="6" t="inlineStr">
        <is>
          <t>Logistique</t>
        </is>
      </c>
      <c r="H39" s="6" t="n">
        <v>21559</v>
      </c>
      <c r="I39" s="9" t="n">
        <v>112365508</v>
      </c>
      <c r="J39" s="9" t="n">
        <v>107279196.5443811</v>
      </c>
      <c r="K39" s="9" t="n">
        <v>7000071.922272939</v>
      </c>
      <c r="L39" s="6" t="n">
        <v>93.62214303741962</v>
      </c>
      <c r="M39" s="6" t="n">
        <v>14</v>
      </c>
      <c r="N39" s="15" t="n">
        <v>2396755</v>
      </c>
      <c r="O39" s="15" t="n">
        <v>866053.0718077833</v>
      </c>
      <c r="P39" s="15" t="n">
        <v>323998.1105670625</v>
      </c>
      <c r="Q39" s="15" t="n">
        <v>240502.1939247708</v>
      </c>
      <c r="R39" s="15" t="n">
        <v>131431.5567186577</v>
      </c>
      <c r="S39" s="16" t="inlineStr">
        <is>
          <t>En cours</t>
        </is>
      </c>
      <c r="T39" s="16" t="inlineStr">
        <is>
          <t>Modernisation ascenseurs</t>
        </is>
      </c>
    </row>
    <row r="40">
      <c r="A40" s="6" t="inlineStr">
        <is>
          <t>Aestiam Placement Pierre</t>
        </is>
      </c>
      <c r="B40" s="6" t="inlineStr">
        <is>
          <t>AES-017</t>
        </is>
      </c>
      <c r="C40" s="6" t="inlineStr">
        <is>
          <t>Immeuble La Défense 17</t>
        </is>
      </c>
      <c r="D40" s="6" t="inlineStr">
        <is>
          <t>La Défense</t>
        </is>
      </c>
      <c r="E40" s="6" t="inlineStr">
        <is>
          <t>Île-de-France</t>
        </is>
      </c>
      <c r="F40" s="6" t="inlineStr">
        <is>
          <t>France</t>
        </is>
      </c>
      <c r="G40" s="6" t="inlineStr">
        <is>
          <t>Santé</t>
        </is>
      </c>
      <c r="H40" s="6" t="n">
        <v>23105</v>
      </c>
      <c r="I40" s="9" t="n">
        <v>148357205</v>
      </c>
      <c r="J40" s="9" t="n">
        <v>133522462.0694835</v>
      </c>
      <c r="K40" s="9" t="n">
        <v>7517353.557558186</v>
      </c>
      <c r="L40" s="6" t="n">
        <v>88.12920738633244</v>
      </c>
      <c r="M40" s="6" t="n">
        <v>3</v>
      </c>
      <c r="N40" s="15" t="n">
        <v>297269</v>
      </c>
      <c r="O40" s="15" t="n">
        <v>116179.1063400711</v>
      </c>
      <c r="P40" s="15" t="n">
        <v>82497.61393192736</v>
      </c>
      <c r="Q40" s="15" t="n">
        <v>57256.48650818303</v>
      </c>
      <c r="R40" s="15" t="n">
        <v>26220.63838520268</v>
      </c>
      <c r="S40" s="16" t="inlineStr">
        <is>
          <t>Réalisé</t>
        </is>
      </c>
      <c r="T40" s="16" t="inlineStr">
        <is>
          <t>Remplacement système CVC</t>
        </is>
      </c>
    </row>
    <row r="41">
      <c r="A41" s="6" t="inlineStr">
        <is>
          <t>Aestiam Placement Pierre</t>
        </is>
      </c>
      <c r="B41" s="6" t="inlineStr">
        <is>
          <t>AES-018</t>
        </is>
      </c>
      <c r="C41" s="6" t="inlineStr">
        <is>
          <t>Immeuble Paris 9ème 18</t>
        </is>
      </c>
      <c r="D41" s="6" t="inlineStr">
        <is>
          <t>Paris 9ème</t>
        </is>
      </c>
      <c r="E41" s="6" t="inlineStr">
        <is>
          <t>Paris</t>
        </is>
      </c>
      <c r="F41" s="6" t="inlineStr">
        <is>
          <t>France</t>
        </is>
      </c>
      <c r="G41" s="6" t="inlineStr">
        <is>
          <t>Commerces</t>
        </is>
      </c>
      <c r="H41" s="6" t="n">
        <v>14640</v>
      </c>
      <c r="I41" s="9" t="n">
        <v>102114000</v>
      </c>
      <c r="J41" s="9" t="n">
        <v>95182061.68224916</v>
      </c>
      <c r="K41" s="9" t="n">
        <v>4738961.934550135</v>
      </c>
      <c r="L41" s="6" t="n">
        <v>94.89244624099338</v>
      </c>
      <c r="M41" s="6" t="n">
        <v>13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/>
      <c r="T41" s="6" t="n"/>
    </row>
    <row r="42">
      <c r="A42" s="6" t="inlineStr">
        <is>
          <t>Aestiam Placement Pierre</t>
        </is>
      </c>
      <c r="B42" s="6" t="inlineStr">
        <is>
          <t>AES-019</t>
        </is>
      </c>
      <c r="C42" s="6" t="inlineStr">
        <is>
          <t>Immeuble Nice 19</t>
        </is>
      </c>
      <c r="D42" s="6" t="inlineStr">
        <is>
          <t>Nice</t>
        </is>
      </c>
      <c r="E42" s="6" t="inlineStr">
        <is>
          <t>Provence-Alpes-Côte d'Azur</t>
        </is>
      </c>
      <c r="F42" s="6" t="inlineStr">
        <is>
          <t>France</t>
        </is>
      </c>
      <c r="G42" s="6" t="inlineStr">
        <is>
          <t>Activités</t>
        </is>
      </c>
      <c r="H42" s="6" t="n">
        <v>16952</v>
      </c>
      <c r="I42" s="9" t="n">
        <v>123156280</v>
      </c>
      <c r="J42" s="9" t="n">
        <v>122821891.0448607</v>
      </c>
      <c r="K42" s="9" t="n">
        <v>7973922.417754487</v>
      </c>
      <c r="L42" s="6" t="n">
        <v>87.1594638259496</v>
      </c>
      <c r="M42" s="6" t="n">
        <v>7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/>
      <c r="T42" s="6" t="n"/>
    </row>
    <row r="43">
      <c r="A43" s="6" t="inlineStr">
        <is>
          <t>Aestiam Placement Pierre</t>
        </is>
      </c>
      <c r="B43" s="6" t="inlineStr">
        <is>
          <t>AES-020</t>
        </is>
      </c>
      <c r="C43" s="6" t="inlineStr">
        <is>
          <t>Immeuble Toulouse Labège 20</t>
        </is>
      </c>
      <c r="D43" s="6" t="inlineStr">
        <is>
          <t>Toulouse Labège</t>
        </is>
      </c>
      <c r="E43" s="6" t="inlineStr">
        <is>
          <t>Occitanie</t>
        </is>
      </c>
      <c r="F43" s="6" t="inlineStr">
        <is>
          <t>France</t>
        </is>
      </c>
      <c r="G43" s="6" t="inlineStr">
        <is>
          <t>Commerces</t>
        </is>
      </c>
      <c r="H43" s="6" t="n">
        <v>9531</v>
      </c>
      <c r="I43" s="9" t="n">
        <v>54650754</v>
      </c>
      <c r="J43" s="9" t="n">
        <v>49025054.09820698</v>
      </c>
      <c r="K43" s="9" t="n">
        <v>2831609.67159216</v>
      </c>
      <c r="L43" s="6" t="n">
        <v>89.47306925226198</v>
      </c>
      <c r="M43" s="6" t="n">
        <v>2</v>
      </c>
      <c r="N43" s="15" t="n">
        <v>2636073</v>
      </c>
      <c r="O43" s="15" t="n">
        <v>598684.705766605</v>
      </c>
      <c r="P43" s="15" t="n">
        <v>660314.5855539187</v>
      </c>
      <c r="Q43" s="15" t="n">
        <v>520028.732908893</v>
      </c>
      <c r="R43" s="15" t="n">
        <v>241074.4858966815</v>
      </c>
      <c r="S43" s="16" t="inlineStr">
        <is>
          <t>Réalisé</t>
        </is>
      </c>
      <c r="T43" s="16" t="inlineStr">
        <is>
          <t>Rénovation sanitaires</t>
        </is>
      </c>
    </row>
    <row r="44">
      <c r="A44" s="6" t="inlineStr">
        <is>
          <t>Aestiam Placement Pierre</t>
        </is>
      </c>
      <c r="B44" s="6" t="inlineStr">
        <is>
          <t>AES-021</t>
        </is>
      </c>
      <c r="C44" s="6" t="inlineStr">
        <is>
          <t>Immeuble Strasbourg 21</t>
        </is>
      </c>
      <c r="D44" s="6" t="inlineStr">
        <is>
          <t>Strasbourg</t>
        </is>
      </c>
      <c r="E44" s="6" t="inlineStr">
        <is>
          <t>Grand Est</t>
        </is>
      </c>
      <c r="F44" s="6" t="inlineStr">
        <is>
          <t>France</t>
        </is>
      </c>
      <c r="G44" s="6" t="inlineStr">
        <is>
          <t>Santé</t>
        </is>
      </c>
      <c r="H44" s="6" t="n">
        <v>18976</v>
      </c>
      <c r="I44" s="9" t="n">
        <v>93741440</v>
      </c>
      <c r="J44" s="9" t="n">
        <v>86806349.31083746</v>
      </c>
      <c r="K44" s="9" t="n">
        <v>5862679.677185565</v>
      </c>
      <c r="L44" s="6" t="n">
        <v>88.62643743402765</v>
      </c>
      <c r="M44" s="6" t="n">
        <v>6</v>
      </c>
      <c r="N44" s="15" t="n">
        <v>2254205</v>
      </c>
      <c r="O44" s="15" t="n">
        <v>694911.9194527406</v>
      </c>
      <c r="P44" s="15" t="n">
        <v>417309.9481573016</v>
      </c>
      <c r="Q44" s="15" t="n">
        <v>428143.4113811848</v>
      </c>
      <c r="R44" s="15" t="n">
        <v>272717.8750131616</v>
      </c>
      <c r="S44" s="16" t="inlineStr">
        <is>
          <t>Planifié</t>
        </is>
      </c>
      <c r="T44" s="16" t="inlineStr">
        <is>
          <t>Amélioration performance thermique</t>
        </is>
      </c>
    </row>
    <row r="45">
      <c r="A45" s="6" t="inlineStr">
        <is>
          <t>Aestiam Placement Pierre</t>
        </is>
      </c>
      <c r="B45" s="6" t="inlineStr">
        <is>
          <t>AES-022</t>
        </is>
      </c>
      <c r="C45" s="6" t="inlineStr">
        <is>
          <t>Immeuble Nice 22</t>
        </is>
      </c>
      <c r="D45" s="6" t="inlineStr">
        <is>
          <t>Nice</t>
        </is>
      </c>
      <c r="E45" s="6" t="inlineStr">
        <is>
          <t>Provence-Alpes-Côte d'Azur</t>
        </is>
      </c>
      <c r="F45" s="6" t="inlineStr">
        <is>
          <t>France</t>
        </is>
      </c>
      <c r="G45" s="6" t="inlineStr">
        <is>
          <t>Bureaux</t>
        </is>
      </c>
      <c r="H45" s="6" t="n">
        <v>16389</v>
      </c>
      <c r="I45" s="9" t="n">
        <v>81895833</v>
      </c>
      <c r="J45" s="9" t="n">
        <v>75736863.39456598</v>
      </c>
      <c r="K45" s="9" t="n">
        <v>5060630.586277114</v>
      </c>
      <c r="L45" s="6" t="n">
        <v>96.46711873579311</v>
      </c>
      <c r="M45" s="6" t="n">
        <v>9</v>
      </c>
      <c r="N45" s="6" t="n">
        <v>0</v>
      </c>
      <c r="O45" s="6" t="n">
        <v>0</v>
      </c>
      <c r="P45" s="6" t="n">
        <v>0</v>
      </c>
      <c r="Q45" s="6" t="n">
        <v>0</v>
      </c>
      <c r="R45" s="6" t="n">
        <v>0</v>
      </c>
      <c r="S45" s="6" t="n"/>
      <c r="T45" s="6" t="n"/>
    </row>
    <row r="46">
      <c r="A46" s="6" t="inlineStr">
        <is>
          <t>Aestiam Placement Pierre</t>
        </is>
      </c>
      <c r="B46" s="6" t="inlineStr">
        <is>
          <t>AES-023</t>
        </is>
      </c>
      <c r="C46" s="6" t="inlineStr">
        <is>
          <t>Immeuble Lyon Confluence 23</t>
        </is>
      </c>
      <c r="D46" s="6" t="inlineStr">
        <is>
          <t>Lyon Confluence</t>
        </is>
      </c>
      <c r="E46" s="6" t="inlineStr">
        <is>
          <t>Auvergne-Rhône-Alpes</t>
        </is>
      </c>
      <c r="F46" s="6" t="inlineStr">
        <is>
          <t>France</t>
        </is>
      </c>
      <c r="G46" s="6" t="inlineStr">
        <is>
          <t>Logistique</t>
        </is>
      </c>
      <c r="H46" s="6" t="n">
        <v>19873</v>
      </c>
      <c r="I46" s="9" t="n">
        <v>97417446</v>
      </c>
      <c r="J46" s="9" t="n">
        <v>89837912.56188418</v>
      </c>
      <c r="K46" s="9" t="n">
        <v>5587529.947582789</v>
      </c>
      <c r="L46" s="6" t="n">
        <v>99.00124072241357</v>
      </c>
      <c r="M46" s="6" t="n">
        <v>7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/>
      <c r="T46" s="6" t="n"/>
    </row>
    <row r="47">
      <c r="A47" s="6" t="inlineStr">
        <is>
          <t>Aestiam Placement Pierre</t>
        </is>
      </c>
      <c r="B47" s="6" t="inlineStr">
        <is>
          <t>AES-024</t>
        </is>
      </c>
      <c r="C47" s="6" t="inlineStr">
        <is>
          <t>Immeuble Nantes Atlantique 24</t>
        </is>
      </c>
      <c r="D47" s="6" t="inlineStr">
        <is>
          <t>Nantes Atlantique</t>
        </is>
      </c>
      <c r="E47" s="6" t="inlineStr">
        <is>
          <t>Pays de la Loire</t>
        </is>
      </c>
      <c r="F47" s="6" t="inlineStr">
        <is>
          <t>France</t>
        </is>
      </c>
      <c r="G47" s="6" t="inlineStr">
        <is>
          <t>Bureaux</t>
        </is>
      </c>
      <c r="H47" s="6" t="n">
        <v>24367</v>
      </c>
      <c r="I47" s="9" t="n">
        <v>181461049</v>
      </c>
      <c r="J47" s="9" t="n">
        <v>185335240.4359326</v>
      </c>
      <c r="K47" s="9" t="n">
        <v>10790997.32674064</v>
      </c>
      <c r="L47" s="6" t="n">
        <v>85.23309031796221</v>
      </c>
      <c r="M47" s="6" t="n">
        <v>6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/>
      <c r="T47" s="6" t="n"/>
    </row>
    <row r="48">
      <c r="A48" s="6" t="inlineStr">
        <is>
          <t>Aestiam Placement Pierre</t>
        </is>
      </c>
      <c r="B48" s="6" t="inlineStr">
        <is>
          <t>AES-025</t>
        </is>
      </c>
      <c r="C48" s="6" t="inlineStr">
        <is>
          <t>Immeuble Levallois-Perret 25</t>
        </is>
      </c>
      <c r="D48" s="6" t="inlineStr">
        <is>
          <t>Levallois-Perret</t>
        </is>
      </c>
      <c r="E48" s="6" t="inlineStr">
        <is>
          <t>Île-de-France</t>
        </is>
      </c>
      <c r="F48" s="6" t="inlineStr">
        <is>
          <t>France</t>
        </is>
      </c>
      <c r="G48" s="6" t="inlineStr">
        <is>
          <t>Activités</t>
        </is>
      </c>
      <c r="H48" s="6" t="n">
        <v>10088</v>
      </c>
      <c r="I48" s="9" t="n">
        <v>75962640</v>
      </c>
      <c r="J48" s="9" t="n">
        <v>66687291.04660973</v>
      </c>
      <c r="K48" s="9" t="n">
        <v>3436603.63594543</v>
      </c>
      <c r="L48" s="6" t="n">
        <v>89.67893229129612</v>
      </c>
      <c r="M48" s="6" t="n">
        <v>12</v>
      </c>
      <c r="N48" s="15" t="n">
        <v>913960</v>
      </c>
      <c r="O48" s="15" t="n">
        <v>373887.3600917662</v>
      </c>
      <c r="P48" s="15" t="n">
        <v>216514.7546343532</v>
      </c>
      <c r="Q48" s="15" t="n">
        <v>108226.9169268678</v>
      </c>
      <c r="R48" s="15" t="n">
        <v>85648.32150460681</v>
      </c>
      <c r="S48" s="16" t="inlineStr">
        <is>
          <t>Planifié</t>
        </is>
      </c>
      <c r="T48" s="16" t="inlineStr">
        <is>
          <t>Mise aux normes sécurité incendie</t>
        </is>
      </c>
    </row>
    <row r="49">
      <c r="A49" s="6" t="inlineStr">
        <is>
          <t>Aestiam Placement Pierre</t>
        </is>
      </c>
      <c r="B49" s="6" t="inlineStr">
        <is>
          <t>AES-026</t>
        </is>
      </c>
      <c r="C49" s="6" t="inlineStr">
        <is>
          <t>Immeuble Nice 26</t>
        </is>
      </c>
      <c r="D49" s="6" t="inlineStr">
        <is>
          <t>Nice</t>
        </is>
      </c>
      <c r="E49" s="6" t="inlineStr">
        <is>
          <t>Provence-Alpes-Côte d'Azur</t>
        </is>
      </c>
      <c r="F49" s="6" t="inlineStr">
        <is>
          <t>France</t>
        </is>
      </c>
      <c r="G49" s="6" t="inlineStr">
        <is>
          <t>Santé</t>
        </is>
      </c>
      <c r="H49" s="6" t="n">
        <v>16481</v>
      </c>
      <c r="I49" s="9" t="n">
        <v>89541273</v>
      </c>
      <c r="J49" s="9" t="n">
        <v>88094176.3515515</v>
      </c>
      <c r="K49" s="9" t="n">
        <v>5630256.941827569</v>
      </c>
      <c r="L49" s="6" t="n">
        <v>86.03711029614787</v>
      </c>
      <c r="M49" s="6" t="n">
        <v>4</v>
      </c>
      <c r="N49" s="15" t="n">
        <v>289795</v>
      </c>
      <c r="O49" s="15" t="n">
        <v>121238.0050198913</v>
      </c>
      <c r="P49" s="15" t="n">
        <v>71234.25026389809</v>
      </c>
      <c r="Q49" s="15" t="n">
        <v>34287.01430803501</v>
      </c>
      <c r="R49" s="15" t="n">
        <v>37738.87976552903</v>
      </c>
      <c r="S49" s="16" t="inlineStr">
        <is>
          <t>Planifié</t>
        </is>
      </c>
      <c r="T49" s="16" t="inlineStr">
        <is>
          <t>Rénovation énergétique - mise aux normes RT2020</t>
        </is>
      </c>
    </row>
    <row r="50">
      <c r="A50" s="6" t="inlineStr">
        <is>
          <t>Aestiam Placement Pierre</t>
        </is>
      </c>
      <c r="B50" s="6" t="inlineStr">
        <is>
          <t>AES-027</t>
        </is>
      </c>
      <c r="C50" s="6" t="inlineStr">
        <is>
          <t>Immeuble Marseille Euroméditerranée 27</t>
        </is>
      </c>
      <c r="D50" s="6" t="inlineStr">
        <is>
          <t>Marseille Euroméditerranée</t>
        </is>
      </c>
      <c r="E50" s="6" t="inlineStr">
        <is>
          <t>Provence-Alpes-Côte d'Azur</t>
        </is>
      </c>
      <c r="F50" s="6" t="inlineStr">
        <is>
          <t>France</t>
        </is>
      </c>
      <c r="G50" s="6" t="inlineStr">
        <is>
          <t>Logistique</t>
        </is>
      </c>
      <c r="H50" s="6" t="n">
        <v>24374</v>
      </c>
      <c r="I50" s="9" t="n">
        <v>161307132</v>
      </c>
      <c r="J50" s="9" t="n">
        <v>146759391.2915995</v>
      </c>
      <c r="K50" s="9" t="n">
        <v>7605073.374537952</v>
      </c>
      <c r="L50" s="6" t="n">
        <v>87.95112438016119</v>
      </c>
      <c r="M50" s="6" t="n">
        <v>4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/>
      <c r="T50" s="6" t="n"/>
    </row>
    <row r="51">
      <c r="A51" s="6" t="inlineStr">
        <is>
          <t>Aestiam Placement Pierre</t>
        </is>
      </c>
      <c r="B51" s="6" t="inlineStr">
        <is>
          <t>AES-028</t>
        </is>
      </c>
      <c r="C51" s="6" t="inlineStr">
        <is>
          <t>Immeuble Paris 9ème 28</t>
        </is>
      </c>
      <c r="D51" s="6" t="inlineStr">
        <is>
          <t>Paris 9ème</t>
        </is>
      </c>
      <c r="E51" s="6" t="inlineStr">
        <is>
          <t>Paris</t>
        </is>
      </c>
      <c r="F51" s="6" t="inlineStr">
        <is>
          <t>France</t>
        </is>
      </c>
      <c r="G51" s="6" t="inlineStr">
        <is>
          <t>Commerces</t>
        </is>
      </c>
      <c r="H51" s="6" t="n">
        <v>8890</v>
      </c>
      <c r="I51" s="9" t="n">
        <v>31390590</v>
      </c>
      <c r="J51" s="9" t="n">
        <v>27412981.31731027</v>
      </c>
      <c r="K51" s="9" t="n">
        <v>1589025.144416225</v>
      </c>
      <c r="L51" s="6" t="n">
        <v>89.37717276137357</v>
      </c>
      <c r="M51" s="6" t="n">
        <v>14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/>
      <c r="T51" s="6" t="n"/>
    </row>
    <row r="52">
      <c r="A52" s="6" t="inlineStr">
        <is>
          <t>Aestiam Placement Pierre</t>
        </is>
      </c>
      <c r="B52" s="6" t="inlineStr">
        <is>
          <t>AES-029</t>
        </is>
      </c>
      <c r="C52" s="6" t="inlineStr">
        <is>
          <t>Immeuble Boulogne-Billancourt 29</t>
        </is>
      </c>
      <c r="D52" s="6" t="inlineStr">
        <is>
          <t>Boulogne-Billancourt</t>
        </is>
      </c>
      <c r="E52" s="6" t="inlineStr">
        <is>
          <t>Île-de-France</t>
        </is>
      </c>
      <c r="F52" s="6" t="inlineStr">
        <is>
          <t>France</t>
        </is>
      </c>
      <c r="G52" s="6" t="inlineStr">
        <is>
          <t>Commerces</t>
        </is>
      </c>
      <c r="H52" s="6" t="n">
        <v>13793</v>
      </c>
      <c r="I52" s="9" t="n">
        <v>95751006</v>
      </c>
      <c r="J52" s="9" t="n">
        <v>85009160.92661667</v>
      </c>
      <c r="K52" s="9" t="n">
        <v>6064147.469869323</v>
      </c>
      <c r="L52" s="6" t="n">
        <v>91.52071448438684</v>
      </c>
      <c r="M52" s="6" t="n">
        <v>5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/>
      <c r="T52" s="6" t="n"/>
    </row>
    <row r="53">
      <c r="A53" s="6" t="inlineStr">
        <is>
          <t>LF Croissance &amp; Territoires</t>
        </is>
      </c>
      <c r="B53" s="6" t="inlineStr">
        <is>
          <t>LF -001</t>
        </is>
      </c>
      <c r="C53" s="6" t="inlineStr">
        <is>
          <t>Immeuble Saint-Denis 1</t>
        </is>
      </c>
      <c r="D53" s="6" t="inlineStr">
        <is>
          <t>Saint-Denis</t>
        </is>
      </c>
      <c r="E53" s="6" t="inlineStr">
        <is>
          <t>Île-de-France</t>
        </is>
      </c>
      <c r="F53" s="6" t="inlineStr">
        <is>
          <t>France</t>
        </is>
      </c>
      <c r="G53" s="6" t="inlineStr">
        <is>
          <t>Commerces</t>
        </is>
      </c>
      <c r="H53" s="6" t="n">
        <v>13944</v>
      </c>
      <c r="I53" s="9" t="n">
        <v>93480576</v>
      </c>
      <c r="J53" s="9" t="n">
        <v>89520394.32126121</v>
      </c>
      <c r="K53" s="9" t="n">
        <v>4543760.638365855</v>
      </c>
      <c r="L53" s="6" t="n">
        <v>88.33633830136009</v>
      </c>
      <c r="M53" s="6" t="n">
        <v>10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/>
      <c r="T53" s="6" t="n"/>
    </row>
    <row r="54">
      <c r="A54" s="6" t="inlineStr">
        <is>
          <t>LF Croissance &amp; Territoires</t>
        </is>
      </c>
      <c r="B54" s="6" t="inlineStr">
        <is>
          <t>LF -002</t>
        </is>
      </c>
      <c r="C54" s="6" t="inlineStr">
        <is>
          <t>Immeuble Rennes 2</t>
        </is>
      </c>
      <c r="D54" s="6" t="inlineStr">
        <is>
          <t>Rennes</t>
        </is>
      </c>
      <c r="E54" s="6" t="inlineStr">
        <is>
          <t>Bretagne</t>
        </is>
      </c>
      <c r="F54" s="6" t="inlineStr">
        <is>
          <t>France</t>
        </is>
      </c>
      <c r="G54" s="6" t="inlineStr">
        <is>
          <t>Commerces</t>
        </is>
      </c>
      <c r="H54" s="6" t="n">
        <v>15877</v>
      </c>
      <c r="I54" s="9" t="n">
        <v>53172073</v>
      </c>
      <c r="J54" s="9" t="n">
        <v>46380099.27650353</v>
      </c>
      <c r="K54" s="9" t="n">
        <v>3105377.173028174</v>
      </c>
      <c r="L54" s="6" t="n">
        <v>97.96615654521059</v>
      </c>
      <c r="M54" s="6" t="n">
        <v>6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/>
      <c r="T54" s="6" t="n"/>
    </row>
    <row r="55">
      <c r="A55" s="6" t="inlineStr">
        <is>
          <t>LF Croissance &amp; Territoires</t>
        </is>
      </c>
      <c r="B55" s="6" t="inlineStr">
        <is>
          <t>LF -003</t>
        </is>
      </c>
      <c r="C55" s="6" t="inlineStr">
        <is>
          <t>Immeuble Boulogne-Billancourt 3</t>
        </is>
      </c>
      <c r="D55" s="6" t="inlineStr">
        <is>
          <t>Boulogne-Billancourt</t>
        </is>
      </c>
      <c r="E55" s="6" t="inlineStr">
        <is>
          <t>Île-de-France</t>
        </is>
      </c>
      <c r="F55" s="6" t="inlineStr">
        <is>
          <t>France</t>
        </is>
      </c>
      <c r="G55" s="6" t="inlineStr">
        <is>
          <t>Activités</t>
        </is>
      </c>
      <c r="H55" s="6" t="n">
        <v>24590</v>
      </c>
      <c r="I55" s="9" t="n">
        <v>95605920</v>
      </c>
      <c r="J55" s="9" t="n">
        <v>97875535.73794325</v>
      </c>
      <c r="K55" s="9" t="n">
        <v>6156684.851477066</v>
      </c>
      <c r="L55" s="6" t="n">
        <v>95.33928845775013</v>
      </c>
      <c r="M55" s="6" t="n">
        <v>14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/>
      <c r="T55" s="6" t="n"/>
    </row>
    <row r="56">
      <c r="A56" s="6" t="inlineStr">
        <is>
          <t>LF Croissance &amp; Territoires</t>
        </is>
      </c>
      <c r="B56" s="6" t="inlineStr">
        <is>
          <t>LF -004</t>
        </is>
      </c>
      <c r="C56" s="6" t="inlineStr">
        <is>
          <t>Immeuble Lille Euralille 4</t>
        </is>
      </c>
      <c r="D56" s="6" t="inlineStr">
        <is>
          <t>Lille Euralille</t>
        </is>
      </c>
      <c r="E56" s="6" t="inlineStr">
        <is>
          <t>Hauts-de-France</t>
        </is>
      </c>
      <c r="F56" s="6" t="inlineStr">
        <is>
          <t>France</t>
        </is>
      </c>
      <c r="G56" s="6" t="inlineStr">
        <is>
          <t>Santé</t>
        </is>
      </c>
      <c r="H56" s="6" t="n">
        <v>10072</v>
      </c>
      <c r="I56" s="9" t="n">
        <v>62174456</v>
      </c>
      <c r="J56" s="9" t="n">
        <v>53862289.95506606</v>
      </c>
      <c r="K56" s="9" t="n">
        <v>3487793.977395235</v>
      </c>
      <c r="L56" s="6" t="n">
        <v>85.99627720846581</v>
      </c>
      <c r="M56" s="6" t="n">
        <v>2</v>
      </c>
      <c r="N56" s="15" t="n">
        <v>2997746</v>
      </c>
      <c r="O56" s="15" t="n">
        <v>1451018.450738872</v>
      </c>
      <c r="P56" s="15" t="n">
        <v>448301.827854992</v>
      </c>
      <c r="Q56" s="15" t="n">
        <v>322681.3596781799</v>
      </c>
      <c r="R56" s="15" t="n">
        <v>411815.3910483957</v>
      </c>
      <c r="S56" s="16" t="inlineStr">
        <is>
          <t>En cours</t>
        </is>
      </c>
      <c r="T56" s="16" t="inlineStr">
        <is>
          <t>Rénovation sanitaires</t>
        </is>
      </c>
    </row>
    <row r="57">
      <c r="A57" s="6" t="inlineStr">
        <is>
          <t>LF Croissance &amp; Territoires</t>
        </is>
      </c>
      <c r="B57" s="6" t="inlineStr">
        <is>
          <t>LF -005</t>
        </is>
      </c>
      <c r="C57" s="6" t="inlineStr">
        <is>
          <t>Immeuble Lille Euralille 5</t>
        </is>
      </c>
      <c r="D57" s="6" t="inlineStr">
        <is>
          <t>Lille Euralille</t>
        </is>
      </c>
      <c r="E57" s="6" t="inlineStr">
        <is>
          <t>Hauts-de-France</t>
        </is>
      </c>
      <c r="F57" s="6" t="inlineStr">
        <is>
          <t>France</t>
        </is>
      </c>
      <c r="G57" s="6" t="inlineStr">
        <is>
          <t>Bureaux</t>
        </is>
      </c>
      <c r="H57" s="6" t="n">
        <v>4330</v>
      </c>
      <c r="I57" s="9" t="n">
        <v>27837570</v>
      </c>
      <c r="J57" s="9" t="n">
        <v>24316295.40174323</v>
      </c>
      <c r="K57" s="9" t="n">
        <v>1262811.335647046</v>
      </c>
      <c r="L57" s="6" t="n">
        <v>88.16821346831857</v>
      </c>
      <c r="M57" s="6" t="n">
        <v>10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/>
      <c r="T57" s="6" t="n"/>
    </row>
    <row r="58">
      <c r="A58" s="6" t="inlineStr">
        <is>
          <t>LF Croissance &amp; Territoires</t>
        </is>
      </c>
      <c r="B58" s="6" t="inlineStr">
        <is>
          <t>LF -006</t>
        </is>
      </c>
      <c r="C58" s="6" t="inlineStr">
        <is>
          <t>Immeuble Lyon Confluence 6</t>
        </is>
      </c>
      <c r="D58" s="6" t="inlineStr">
        <is>
          <t>Lyon Confluence</t>
        </is>
      </c>
      <c r="E58" s="6" t="inlineStr">
        <is>
          <t>Auvergne-Rhône-Alpes</t>
        </is>
      </c>
      <c r="F58" s="6" t="inlineStr">
        <is>
          <t>France</t>
        </is>
      </c>
      <c r="G58" s="6" t="inlineStr">
        <is>
          <t>Bureaux</t>
        </is>
      </c>
      <c r="H58" s="6" t="n">
        <v>10062</v>
      </c>
      <c r="I58" s="9" t="n">
        <v>42129594</v>
      </c>
      <c r="J58" s="9" t="n">
        <v>42853771.22651564</v>
      </c>
      <c r="K58" s="9" t="n">
        <v>2230160.584692351</v>
      </c>
      <c r="L58" s="6" t="n">
        <v>90.15185541905996</v>
      </c>
      <c r="M58" s="6" t="n">
        <v>2</v>
      </c>
      <c r="N58" s="15" t="n">
        <v>2789694</v>
      </c>
      <c r="O58" s="15" t="n">
        <v>1236788.371212008</v>
      </c>
      <c r="P58" s="15" t="n">
        <v>481290.1053617972</v>
      </c>
      <c r="Q58" s="15" t="n">
        <v>301402.3117286189</v>
      </c>
      <c r="R58" s="15" t="n">
        <v>230728.566187499</v>
      </c>
      <c r="S58" s="16" t="inlineStr">
        <is>
          <t>Planifié</t>
        </is>
      </c>
      <c r="T58" s="16" t="inlineStr">
        <is>
          <t>Remplacement système CVC</t>
        </is>
      </c>
    </row>
    <row r="59">
      <c r="A59" s="6" t="inlineStr">
        <is>
          <t>LF Croissance &amp; Territoires</t>
        </is>
      </c>
      <c r="B59" s="6" t="inlineStr">
        <is>
          <t>LF -007</t>
        </is>
      </c>
      <c r="C59" s="6" t="inlineStr">
        <is>
          <t>Immeuble Paris 9ème 7</t>
        </is>
      </c>
      <c r="D59" s="6" t="inlineStr">
        <is>
          <t>Paris 9ème</t>
        </is>
      </c>
      <c r="E59" s="6" t="inlineStr">
        <is>
          <t>Paris</t>
        </is>
      </c>
      <c r="F59" s="6" t="inlineStr">
        <is>
          <t>France</t>
        </is>
      </c>
      <c r="G59" s="6" t="inlineStr">
        <is>
          <t>Commerces</t>
        </is>
      </c>
      <c r="H59" s="6" t="n">
        <v>6234</v>
      </c>
      <c r="I59" s="9" t="n">
        <v>45240138</v>
      </c>
      <c r="J59" s="9" t="n">
        <v>46933389.70180696</v>
      </c>
      <c r="K59" s="9" t="n">
        <v>2811741.787367615</v>
      </c>
      <c r="L59" s="6" t="n">
        <v>94.90798425148883</v>
      </c>
      <c r="M59" s="6" t="n">
        <v>8</v>
      </c>
      <c r="N59" s="15" t="n">
        <v>2146307</v>
      </c>
      <c r="O59" s="15" t="n">
        <v>555292.6066942371</v>
      </c>
      <c r="P59" s="15" t="n">
        <v>573533.9278720823</v>
      </c>
      <c r="Q59" s="15" t="n">
        <v>222256.6190296192</v>
      </c>
      <c r="R59" s="15" t="n">
        <v>126629.7691537038</v>
      </c>
      <c r="S59" s="16" t="inlineStr">
        <is>
          <t>En cours</t>
        </is>
      </c>
      <c r="T59" s="16" t="inlineStr">
        <is>
          <t>Rénovation sanitaires</t>
        </is>
      </c>
    </row>
    <row r="60">
      <c r="A60" s="6" t="inlineStr">
        <is>
          <t>LF Croissance &amp; Territoires</t>
        </is>
      </c>
      <c r="B60" s="6" t="inlineStr">
        <is>
          <t>LF -008</t>
        </is>
      </c>
      <c r="C60" s="6" t="inlineStr">
        <is>
          <t>Immeuble Toulouse Labège 8</t>
        </is>
      </c>
      <c r="D60" s="6" t="inlineStr">
        <is>
          <t>Toulouse Labège</t>
        </is>
      </c>
      <c r="E60" s="6" t="inlineStr">
        <is>
          <t>Occitanie</t>
        </is>
      </c>
      <c r="F60" s="6" t="inlineStr">
        <is>
          <t>France</t>
        </is>
      </c>
      <c r="G60" s="6" t="inlineStr">
        <is>
          <t>Santé</t>
        </is>
      </c>
      <c r="H60" s="6" t="n">
        <v>14247</v>
      </c>
      <c r="I60" s="9" t="n">
        <v>88716069</v>
      </c>
      <c r="J60" s="9" t="n">
        <v>82613994.31383137</v>
      </c>
      <c r="K60" s="9" t="n">
        <v>4864271.326682233</v>
      </c>
      <c r="L60" s="6" t="n">
        <v>86.60804401064003</v>
      </c>
      <c r="M60" s="6" t="n">
        <v>1</v>
      </c>
      <c r="N60" s="15" t="n">
        <v>2140110</v>
      </c>
      <c r="O60" s="15" t="n">
        <v>754848.7530345829</v>
      </c>
      <c r="P60" s="15" t="n">
        <v>514643.9501880329</v>
      </c>
      <c r="Q60" s="15" t="n">
        <v>364868.2975852018</v>
      </c>
      <c r="R60" s="15" t="n">
        <v>128236.9702932649</v>
      </c>
      <c r="S60" s="16" t="inlineStr">
        <is>
          <t>Planifié</t>
        </is>
      </c>
      <c r="T60" s="16" t="inlineStr">
        <is>
          <t>Modernisation ascenseurs</t>
        </is>
      </c>
    </row>
    <row r="61">
      <c r="A61" s="6" t="inlineStr">
        <is>
          <t>LF Croissance &amp; Territoires</t>
        </is>
      </c>
      <c r="B61" s="6" t="inlineStr">
        <is>
          <t>LF -009</t>
        </is>
      </c>
      <c r="C61" s="6" t="inlineStr">
        <is>
          <t>Immeuble Marseille Euroméditerranée 9</t>
        </is>
      </c>
      <c r="D61" s="6" t="inlineStr">
        <is>
          <t>Marseille Euroméditerranée</t>
        </is>
      </c>
      <c r="E61" s="6" t="inlineStr">
        <is>
          <t>Provence-Alpes-Côte d'Azur</t>
        </is>
      </c>
      <c r="F61" s="6" t="inlineStr">
        <is>
          <t>France</t>
        </is>
      </c>
      <c r="G61" s="6" t="inlineStr">
        <is>
          <t>Activités</t>
        </is>
      </c>
      <c r="H61" s="6" t="n">
        <v>2416</v>
      </c>
      <c r="I61" s="9" t="n">
        <v>10108544</v>
      </c>
      <c r="J61" s="9" t="n">
        <v>10492020.27286431</v>
      </c>
      <c r="K61" s="9" t="n">
        <v>574506.7411699694</v>
      </c>
      <c r="L61" s="6" t="n">
        <v>87.21113539663982</v>
      </c>
      <c r="M61" s="6" t="n">
        <v>9</v>
      </c>
      <c r="N61" s="6" t="n">
        <v>0</v>
      </c>
      <c r="O61" s="6" t="n">
        <v>0</v>
      </c>
      <c r="P61" s="6" t="n">
        <v>0</v>
      </c>
      <c r="Q61" s="6" t="n">
        <v>0</v>
      </c>
      <c r="R61" s="6" t="n">
        <v>0</v>
      </c>
      <c r="S61" s="6" t="n"/>
      <c r="T61" s="6" t="n"/>
    </row>
    <row r="62">
      <c r="A62" s="6" t="inlineStr">
        <is>
          <t>LF Croissance &amp; Territoires</t>
        </is>
      </c>
      <c r="B62" s="6" t="inlineStr">
        <is>
          <t>LF -010</t>
        </is>
      </c>
      <c r="C62" s="6" t="inlineStr">
        <is>
          <t>Immeuble Paris 17ème 10</t>
        </is>
      </c>
      <c r="D62" s="6" t="inlineStr">
        <is>
          <t>Paris 17ème</t>
        </is>
      </c>
      <c r="E62" s="6" t="inlineStr">
        <is>
          <t>Paris</t>
        </is>
      </c>
      <c r="F62" s="6" t="inlineStr">
        <is>
          <t>France</t>
        </is>
      </c>
      <c r="G62" s="6" t="inlineStr">
        <is>
          <t>Commerces</t>
        </is>
      </c>
      <c r="H62" s="6" t="n">
        <v>8150</v>
      </c>
      <c r="I62" s="9" t="n">
        <v>52127400</v>
      </c>
      <c r="J62" s="9" t="n">
        <v>54530589.44239889</v>
      </c>
      <c r="K62" s="9" t="n">
        <v>3299933.298663052</v>
      </c>
      <c r="L62" s="6" t="n">
        <v>88.24929571663448</v>
      </c>
      <c r="M62" s="6" t="n">
        <v>1</v>
      </c>
      <c r="N62" s="6" t="n">
        <v>0</v>
      </c>
      <c r="O62" s="6" t="n">
        <v>0</v>
      </c>
      <c r="P62" s="6" t="n">
        <v>0</v>
      </c>
      <c r="Q62" s="6" t="n">
        <v>0</v>
      </c>
      <c r="R62" s="6" t="n">
        <v>0</v>
      </c>
      <c r="S62" s="6" t="n"/>
      <c r="T62" s="6" t="n"/>
    </row>
    <row r="63">
      <c r="A63" s="6" t="inlineStr">
        <is>
          <t>LF Croissance &amp; Territoires</t>
        </is>
      </c>
      <c r="B63" s="6" t="inlineStr">
        <is>
          <t>LF -011</t>
        </is>
      </c>
      <c r="C63" s="6" t="inlineStr">
        <is>
          <t>Immeuble Nice 11</t>
        </is>
      </c>
      <c r="D63" s="6" t="inlineStr">
        <is>
          <t>Nice</t>
        </is>
      </c>
      <c r="E63" s="6" t="inlineStr">
        <is>
          <t>Provence-Alpes-Côte d'Azur</t>
        </is>
      </c>
      <c r="F63" s="6" t="inlineStr">
        <is>
          <t>France</t>
        </is>
      </c>
      <c r="G63" s="6" t="inlineStr">
        <is>
          <t>Santé</t>
        </is>
      </c>
      <c r="H63" s="6" t="n">
        <v>10199</v>
      </c>
      <c r="I63" s="9" t="n">
        <v>78562897</v>
      </c>
      <c r="J63" s="9" t="n">
        <v>80581703.30285157</v>
      </c>
      <c r="K63" s="9" t="n">
        <v>4709175.316724777</v>
      </c>
      <c r="L63" s="6" t="n">
        <v>85.14221266201017</v>
      </c>
      <c r="M63" s="6" t="n">
        <v>5</v>
      </c>
      <c r="N63" s="6" t="n">
        <v>0</v>
      </c>
      <c r="O63" s="6" t="n">
        <v>0</v>
      </c>
      <c r="P63" s="6" t="n">
        <v>0</v>
      </c>
      <c r="Q63" s="6" t="n">
        <v>0</v>
      </c>
      <c r="R63" s="6" t="n">
        <v>0</v>
      </c>
      <c r="S63" s="6" t="n"/>
      <c r="T63" s="6" t="n"/>
    </row>
    <row r="64">
      <c r="A64" s="6" t="inlineStr">
        <is>
          <t>LF Croissance &amp; Territoires</t>
        </is>
      </c>
      <c r="B64" s="6" t="inlineStr">
        <is>
          <t>LF -012</t>
        </is>
      </c>
      <c r="C64" s="6" t="inlineStr">
        <is>
          <t>Immeuble Paris 17ème 12</t>
        </is>
      </c>
      <c r="D64" s="6" t="inlineStr">
        <is>
          <t>Paris 17ème</t>
        </is>
      </c>
      <c r="E64" s="6" t="inlineStr">
        <is>
          <t>Paris</t>
        </is>
      </c>
      <c r="F64" s="6" t="inlineStr">
        <is>
          <t>France</t>
        </is>
      </c>
      <c r="G64" s="6" t="inlineStr">
        <is>
          <t>Commerces</t>
        </is>
      </c>
      <c r="H64" s="6" t="n">
        <v>16820</v>
      </c>
      <c r="I64" s="9" t="n">
        <v>93485560</v>
      </c>
      <c r="J64" s="9" t="n">
        <v>89614402.23261246</v>
      </c>
      <c r="K64" s="9" t="n">
        <v>5785781.20752342</v>
      </c>
      <c r="L64" s="6" t="n">
        <v>91.91542592461583</v>
      </c>
      <c r="M64" s="6" t="n">
        <v>5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/>
      <c r="T64" s="6" t="n"/>
    </row>
    <row r="65">
      <c r="A65" s="6" t="inlineStr">
        <is>
          <t>LF Croissance &amp; Territoires</t>
        </is>
      </c>
      <c r="B65" s="6" t="inlineStr">
        <is>
          <t>LF -013</t>
        </is>
      </c>
      <c r="C65" s="6" t="inlineStr">
        <is>
          <t>Immeuble Paris 17ème 13</t>
        </is>
      </c>
      <c r="D65" s="6" t="inlineStr">
        <is>
          <t>Paris 17ème</t>
        </is>
      </c>
      <c r="E65" s="6" t="inlineStr">
        <is>
          <t>Paris</t>
        </is>
      </c>
      <c r="F65" s="6" t="inlineStr">
        <is>
          <t>France</t>
        </is>
      </c>
      <c r="G65" s="6" t="inlineStr">
        <is>
          <t>Commerces</t>
        </is>
      </c>
      <c r="H65" s="6" t="n">
        <v>10816</v>
      </c>
      <c r="I65" s="9" t="n">
        <v>86203520</v>
      </c>
      <c r="J65" s="9" t="n">
        <v>90332163.20718071</v>
      </c>
      <c r="K65" s="9" t="n">
        <v>4620525.915980558</v>
      </c>
      <c r="L65" s="6" t="n">
        <v>99.62439297650683</v>
      </c>
      <c r="M65" s="6" t="n">
        <v>4</v>
      </c>
      <c r="N65" s="6" t="n">
        <v>0</v>
      </c>
      <c r="O65" s="6" t="n">
        <v>0</v>
      </c>
      <c r="P65" s="6" t="n">
        <v>0</v>
      </c>
      <c r="Q65" s="6" t="n">
        <v>0</v>
      </c>
      <c r="R65" s="6" t="n">
        <v>0</v>
      </c>
      <c r="S65" s="6" t="n"/>
      <c r="T65" s="6" t="n"/>
    </row>
    <row r="66">
      <c r="A66" s="6" t="inlineStr">
        <is>
          <t>LF Croissance &amp; Territoires</t>
        </is>
      </c>
      <c r="B66" s="6" t="inlineStr">
        <is>
          <t>LF -014</t>
        </is>
      </c>
      <c r="C66" s="6" t="inlineStr">
        <is>
          <t>Immeuble Paris 8ème 14</t>
        </is>
      </c>
      <c r="D66" s="6" t="inlineStr">
        <is>
          <t>Paris 8ème</t>
        </is>
      </c>
      <c r="E66" s="6" t="inlineStr">
        <is>
          <t>Paris</t>
        </is>
      </c>
      <c r="F66" s="6" t="inlineStr">
        <is>
          <t>France</t>
        </is>
      </c>
      <c r="G66" s="6" t="inlineStr">
        <is>
          <t>Commerces</t>
        </is>
      </c>
      <c r="H66" s="6" t="n">
        <v>14105</v>
      </c>
      <c r="I66" s="9" t="n">
        <v>50086855</v>
      </c>
      <c r="J66" s="9" t="n">
        <v>49903894.35952303</v>
      </c>
      <c r="K66" s="9" t="n">
        <v>2347817.105489857</v>
      </c>
      <c r="L66" s="6" t="n">
        <v>97.49860704467818</v>
      </c>
      <c r="M66" s="6" t="n">
        <v>8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/>
      <c r="T66" s="6" t="n"/>
    </row>
    <row r="67">
      <c r="A67" s="6" t="inlineStr">
        <is>
          <t>LF Croissance &amp; Territoires</t>
        </is>
      </c>
      <c r="B67" s="6" t="inlineStr">
        <is>
          <t>LF -015</t>
        </is>
      </c>
      <c r="C67" s="6" t="inlineStr">
        <is>
          <t>Immeuble Bordeaux Euratlantique 15</t>
        </is>
      </c>
      <c r="D67" s="6" t="inlineStr">
        <is>
          <t>Bordeaux Euratlantique</t>
        </is>
      </c>
      <c r="E67" s="6" t="inlineStr">
        <is>
          <t>Nouvelle-Aquitaine</t>
        </is>
      </c>
      <c r="F67" s="6" t="inlineStr">
        <is>
          <t>France</t>
        </is>
      </c>
      <c r="G67" s="6" t="inlineStr">
        <is>
          <t>Santé</t>
        </is>
      </c>
      <c r="H67" s="6" t="n">
        <v>18948</v>
      </c>
      <c r="I67" s="9" t="n">
        <v>72210828</v>
      </c>
      <c r="J67" s="9" t="n">
        <v>68590145.8967507</v>
      </c>
      <c r="K67" s="9" t="n">
        <v>4167800.706323808</v>
      </c>
      <c r="L67" s="6" t="n">
        <v>86.93196961188333</v>
      </c>
      <c r="M67" s="6" t="n">
        <v>4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/>
      <c r="T67" s="6" t="n"/>
    </row>
    <row r="68">
      <c r="A68" s="6" t="inlineStr">
        <is>
          <t>LF Croissance &amp; Territoires</t>
        </is>
      </c>
      <c r="B68" s="6" t="inlineStr">
        <is>
          <t>LF -016</t>
        </is>
      </c>
      <c r="C68" s="6" t="inlineStr">
        <is>
          <t>Immeuble Bordeaux Euratlantique 16</t>
        </is>
      </c>
      <c r="D68" s="6" t="inlineStr">
        <is>
          <t>Bordeaux Euratlantique</t>
        </is>
      </c>
      <c r="E68" s="6" t="inlineStr">
        <is>
          <t>Nouvelle-Aquitaine</t>
        </is>
      </c>
      <c r="F68" s="6" t="inlineStr">
        <is>
          <t>France</t>
        </is>
      </c>
      <c r="G68" s="6" t="inlineStr">
        <is>
          <t>Commerces</t>
        </is>
      </c>
      <c r="H68" s="6" t="n">
        <v>19832</v>
      </c>
      <c r="I68" s="9" t="n">
        <v>118119392</v>
      </c>
      <c r="J68" s="9" t="n">
        <v>104033611.1412234</v>
      </c>
      <c r="K68" s="9" t="n">
        <v>6022668.669418738</v>
      </c>
      <c r="L68" s="6" t="n">
        <v>91.17070239781457</v>
      </c>
      <c r="M68" s="6" t="n">
        <v>13</v>
      </c>
      <c r="N68" s="15" t="n">
        <v>1549501</v>
      </c>
      <c r="O68" s="15" t="n">
        <v>588579.6061382865</v>
      </c>
      <c r="P68" s="15" t="n">
        <v>359980.2468619227</v>
      </c>
      <c r="Q68" s="15" t="n">
        <v>246873.3080131886</v>
      </c>
      <c r="R68" s="15" t="n">
        <v>104048.4723801534</v>
      </c>
      <c r="S68" s="16" t="inlineStr">
        <is>
          <t>En cours</t>
        </is>
      </c>
      <c r="T68" s="16" t="inlineStr">
        <is>
          <t>Mise aux normes sécurité incendie</t>
        </is>
      </c>
    </row>
    <row r="69">
      <c r="A69" s="6" t="inlineStr">
        <is>
          <t>LF Croissance &amp; Territoires</t>
        </is>
      </c>
      <c r="B69" s="6" t="inlineStr">
        <is>
          <t>LF -017</t>
        </is>
      </c>
      <c r="C69" s="6" t="inlineStr">
        <is>
          <t>Immeuble Bordeaux Lac 17</t>
        </is>
      </c>
      <c r="D69" s="6" t="inlineStr">
        <is>
          <t>Bordeaux Lac</t>
        </is>
      </c>
      <c r="E69" s="6" t="inlineStr">
        <is>
          <t>Nouvelle-Aquitaine</t>
        </is>
      </c>
      <c r="F69" s="6" t="inlineStr">
        <is>
          <t>France</t>
        </is>
      </c>
      <c r="G69" s="6" t="inlineStr">
        <is>
          <t>Commerces</t>
        </is>
      </c>
      <c r="H69" s="6" t="n">
        <v>14037</v>
      </c>
      <c r="I69" s="9" t="n">
        <v>95353341</v>
      </c>
      <c r="J69" s="9" t="n">
        <v>89455033.46250676</v>
      </c>
      <c r="K69" s="9" t="n">
        <v>4353455.705079841</v>
      </c>
      <c r="L69" s="6" t="n">
        <v>94.02110140882368</v>
      </c>
      <c r="M69" s="6" t="n">
        <v>8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/>
      <c r="T69" s="6" t="n"/>
    </row>
    <row r="70">
      <c r="A70" s="6" t="inlineStr">
        <is>
          <t>LF Croissance &amp; Territoires</t>
        </is>
      </c>
      <c r="B70" s="6" t="inlineStr">
        <is>
          <t>LF -018</t>
        </is>
      </c>
      <c r="C70" s="6" t="inlineStr">
        <is>
          <t>Immeuble Rennes 18</t>
        </is>
      </c>
      <c r="D70" s="6" t="inlineStr">
        <is>
          <t>Rennes</t>
        </is>
      </c>
      <c r="E70" s="6" t="inlineStr">
        <is>
          <t>Bretagne</t>
        </is>
      </c>
      <c r="F70" s="6" t="inlineStr">
        <is>
          <t>France</t>
        </is>
      </c>
      <c r="G70" s="6" t="inlineStr">
        <is>
          <t>Bureaux</t>
        </is>
      </c>
      <c r="H70" s="6" t="n">
        <v>14251</v>
      </c>
      <c r="I70" s="9" t="n">
        <v>75744065</v>
      </c>
      <c r="J70" s="9" t="n">
        <v>75034258.77427083</v>
      </c>
      <c r="K70" s="9" t="n">
        <v>4409655.98993683</v>
      </c>
      <c r="L70" s="6" t="n">
        <v>88.81831115402831</v>
      </c>
      <c r="M70" s="6" t="n">
        <v>2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/>
      <c r="T70" s="6" t="n"/>
    </row>
    <row r="71">
      <c r="A71" s="6" t="inlineStr">
        <is>
          <t>LF Croissance &amp; Territoires</t>
        </is>
      </c>
      <c r="B71" s="6" t="inlineStr">
        <is>
          <t>LF -019</t>
        </is>
      </c>
      <c r="C71" s="6" t="inlineStr">
        <is>
          <t>Immeuble Aix-en-Provence 19</t>
        </is>
      </c>
      <c r="D71" s="6" t="inlineStr">
        <is>
          <t>Aix-en-Provence</t>
        </is>
      </c>
      <c r="E71" s="6" t="inlineStr">
        <is>
          <t>Provence-Alpes-Côte d'Azur</t>
        </is>
      </c>
      <c r="F71" s="6" t="inlineStr">
        <is>
          <t>France</t>
        </is>
      </c>
      <c r="G71" s="6" t="inlineStr">
        <is>
          <t>Santé</t>
        </is>
      </c>
      <c r="H71" s="6" t="n">
        <v>16041</v>
      </c>
      <c r="I71" s="9" t="n">
        <v>64500861</v>
      </c>
      <c r="J71" s="9" t="n">
        <v>62481496.49844573</v>
      </c>
      <c r="K71" s="9" t="n">
        <v>3215143.552956632</v>
      </c>
      <c r="L71" s="6" t="n">
        <v>96.03382693746988</v>
      </c>
      <c r="M71" s="6" t="n">
        <v>7</v>
      </c>
      <c r="N71" s="15" t="n">
        <v>3250024</v>
      </c>
      <c r="O71" s="15" t="n">
        <v>1373334.172424752</v>
      </c>
      <c r="P71" s="15" t="n">
        <v>618515.0717781089</v>
      </c>
      <c r="Q71" s="15" t="n">
        <v>457406.3040289556</v>
      </c>
      <c r="R71" s="15" t="n">
        <v>283343.9940611862</v>
      </c>
      <c r="S71" s="16" t="inlineStr">
        <is>
          <t>En cours</t>
        </is>
      </c>
      <c r="T71" s="16" t="inlineStr">
        <is>
          <t>Rénovation sanitaires</t>
        </is>
      </c>
    </row>
    <row r="72">
      <c r="A72" s="6" t="inlineStr">
        <is>
          <t>LF Croissance &amp; Territoires</t>
        </is>
      </c>
      <c r="B72" s="6" t="inlineStr">
        <is>
          <t>LF -020</t>
        </is>
      </c>
      <c r="C72" s="6" t="inlineStr">
        <is>
          <t>Immeuble Lyon Part-Dieu 20</t>
        </is>
      </c>
      <c r="D72" s="6" t="inlineStr">
        <is>
          <t>Lyon Part-Dieu</t>
        </is>
      </c>
      <c r="E72" s="6" t="inlineStr">
        <is>
          <t>Auvergne-Rhône-Alpes</t>
        </is>
      </c>
      <c r="F72" s="6" t="inlineStr">
        <is>
          <t>France</t>
        </is>
      </c>
      <c r="G72" s="6" t="inlineStr">
        <is>
          <t>Logistique</t>
        </is>
      </c>
      <c r="H72" s="6" t="n">
        <v>14678</v>
      </c>
      <c r="I72" s="9" t="n">
        <v>62836518</v>
      </c>
      <c r="J72" s="9" t="n">
        <v>63750354.42631476</v>
      </c>
      <c r="K72" s="9" t="n">
        <v>3937602.030939669</v>
      </c>
      <c r="L72" s="6" t="n">
        <v>97.16371900177647</v>
      </c>
      <c r="M72" s="6" t="n">
        <v>9</v>
      </c>
      <c r="N72" s="15" t="n">
        <v>3340286</v>
      </c>
      <c r="O72" s="15" t="n">
        <v>971455.4061190295</v>
      </c>
      <c r="P72" s="15" t="n">
        <v>429356.2218478683</v>
      </c>
      <c r="Q72" s="15" t="n">
        <v>342031.4459064082</v>
      </c>
      <c r="R72" s="15" t="n">
        <v>422049.5022516229</v>
      </c>
      <c r="S72" s="16" t="inlineStr">
        <is>
          <t>En cours</t>
        </is>
      </c>
      <c r="T72" s="16" t="inlineStr">
        <is>
          <t>Réaménagement plateaux de bureaux</t>
        </is>
      </c>
    </row>
    <row r="73">
      <c r="A73" s="6" t="inlineStr">
        <is>
          <t>LF Croissance &amp; Territoires</t>
        </is>
      </c>
      <c r="B73" s="6" t="inlineStr">
        <is>
          <t>LF -021</t>
        </is>
      </c>
      <c r="C73" s="6" t="inlineStr">
        <is>
          <t>Immeuble Paris 17ème 21</t>
        </is>
      </c>
      <c r="D73" s="6" t="inlineStr">
        <is>
          <t>Paris 17ème</t>
        </is>
      </c>
      <c r="E73" s="6" t="inlineStr">
        <is>
          <t>Paris</t>
        </is>
      </c>
      <c r="F73" s="6" t="inlineStr">
        <is>
          <t>France</t>
        </is>
      </c>
      <c r="G73" s="6" t="inlineStr">
        <is>
          <t>Bureaux</t>
        </is>
      </c>
      <c r="H73" s="6" t="n">
        <v>17348</v>
      </c>
      <c r="I73" s="9" t="n">
        <v>124090244</v>
      </c>
      <c r="J73" s="9" t="n">
        <v>113175116.7734236</v>
      </c>
      <c r="K73" s="9" t="n">
        <v>5686361.084902111</v>
      </c>
      <c r="L73" s="6" t="n">
        <v>92.37190763318027</v>
      </c>
      <c r="M73" s="6" t="n">
        <v>11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/>
      <c r="T73" s="6" t="n"/>
    </row>
    <row r="74">
      <c r="A74" s="6" t="inlineStr">
        <is>
          <t>LF Croissance &amp; Territoires</t>
        </is>
      </c>
      <c r="B74" s="6" t="inlineStr">
        <is>
          <t>LF -022</t>
        </is>
      </c>
      <c r="C74" s="6" t="inlineStr">
        <is>
          <t>Immeuble Lille Euralille 22</t>
        </is>
      </c>
      <c r="D74" s="6" t="inlineStr">
        <is>
          <t>Lille Euralille</t>
        </is>
      </c>
      <c r="E74" s="6" t="inlineStr">
        <is>
          <t>Hauts-de-France</t>
        </is>
      </c>
      <c r="F74" s="6" t="inlineStr">
        <is>
          <t>France</t>
        </is>
      </c>
      <c r="G74" s="6" t="inlineStr">
        <is>
          <t>Logistique</t>
        </is>
      </c>
      <c r="H74" s="6" t="n">
        <v>23847</v>
      </c>
      <c r="I74" s="9" t="n">
        <v>115300245</v>
      </c>
      <c r="J74" s="9" t="n">
        <v>118418386.6166061</v>
      </c>
      <c r="K74" s="9" t="n">
        <v>6831498.17049965</v>
      </c>
      <c r="L74" s="6" t="n">
        <v>91.46213467422284</v>
      </c>
      <c r="M74" s="6" t="n">
        <v>10</v>
      </c>
      <c r="N74" s="15" t="n">
        <v>652349</v>
      </c>
      <c r="O74" s="15" t="n">
        <v>184673.6499569532</v>
      </c>
      <c r="P74" s="15" t="n">
        <v>135998.9365867832</v>
      </c>
      <c r="Q74" s="15" t="n">
        <v>97835.17158376556</v>
      </c>
      <c r="R74" s="15" t="n">
        <v>64821.87324735044</v>
      </c>
      <c r="S74" s="16" t="inlineStr">
        <is>
          <t>En cours</t>
        </is>
      </c>
      <c r="T74" s="16" t="inlineStr">
        <is>
          <t>Remplacement système CVC</t>
        </is>
      </c>
    </row>
    <row r="75">
      <c r="A75" s="6" t="inlineStr">
        <is>
          <t>LF Croissance &amp; Territoires</t>
        </is>
      </c>
      <c r="B75" s="6" t="inlineStr">
        <is>
          <t>LF -023</t>
        </is>
      </c>
      <c r="C75" s="6" t="inlineStr">
        <is>
          <t>Immeuble La Défense 23</t>
        </is>
      </c>
      <c r="D75" s="6" t="inlineStr">
        <is>
          <t>La Défense</t>
        </is>
      </c>
      <c r="E75" s="6" t="inlineStr">
        <is>
          <t>Île-de-France</t>
        </is>
      </c>
      <c r="F75" s="6" t="inlineStr">
        <is>
          <t>France</t>
        </is>
      </c>
      <c r="G75" s="6" t="inlineStr">
        <is>
          <t>Bureaux</t>
        </is>
      </c>
      <c r="H75" s="6" t="n">
        <v>13611</v>
      </c>
      <c r="I75" s="9" t="n">
        <v>93779790</v>
      </c>
      <c r="J75" s="9" t="n">
        <v>85219031.29122303</v>
      </c>
      <c r="K75" s="9" t="n">
        <v>4350175.124487011</v>
      </c>
      <c r="L75" s="6" t="n">
        <v>86.72996177535605</v>
      </c>
      <c r="M75" s="6" t="n">
        <v>12</v>
      </c>
      <c r="N75" s="15" t="n">
        <v>3274165</v>
      </c>
      <c r="O75" s="15" t="n">
        <v>1129109.834910688</v>
      </c>
      <c r="P75" s="15" t="n">
        <v>358134.2296462808</v>
      </c>
      <c r="Q75" s="15" t="n">
        <v>579641.1420863218</v>
      </c>
      <c r="R75" s="15" t="n">
        <v>314142.3367107395</v>
      </c>
      <c r="S75" s="16" t="inlineStr">
        <is>
          <t>Planifié</t>
        </is>
      </c>
      <c r="T75" s="16" t="inlineStr">
        <is>
          <t>Installation bornes de recharge VE</t>
        </is>
      </c>
    </row>
    <row r="76">
      <c r="A76" s="6" t="inlineStr">
        <is>
          <t>LF Croissance &amp; Territoires</t>
        </is>
      </c>
      <c r="B76" s="6" t="inlineStr">
        <is>
          <t>LF -024</t>
        </is>
      </c>
      <c r="C76" s="6" t="inlineStr">
        <is>
          <t>Immeuble Nantes Atlantique 24</t>
        </is>
      </c>
      <c r="D76" s="6" t="inlineStr">
        <is>
          <t>Nantes Atlantique</t>
        </is>
      </c>
      <c r="E76" s="6" t="inlineStr">
        <is>
          <t>Pays de la Loire</t>
        </is>
      </c>
      <c r="F76" s="6" t="inlineStr">
        <is>
          <t>France</t>
        </is>
      </c>
      <c r="G76" s="6" t="inlineStr">
        <is>
          <t>Logistique</t>
        </is>
      </c>
      <c r="H76" s="6" t="n">
        <v>23335</v>
      </c>
      <c r="I76" s="9" t="n">
        <v>143463580</v>
      </c>
      <c r="J76" s="9" t="n">
        <v>140012825.9583594</v>
      </c>
      <c r="K76" s="9" t="n">
        <v>8874788.410092641</v>
      </c>
      <c r="L76" s="6" t="n">
        <v>98.5425945844564</v>
      </c>
      <c r="M76" s="6" t="n">
        <v>8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/>
      <c r="T76" s="6" t="n"/>
    </row>
    <row r="77">
      <c r="A77" s="6" t="inlineStr">
        <is>
          <t>LF Croissance &amp; Territoires</t>
        </is>
      </c>
      <c r="B77" s="6" t="inlineStr">
        <is>
          <t>LF -025</t>
        </is>
      </c>
      <c r="C77" s="6" t="inlineStr">
        <is>
          <t>Immeuble Paris 9ème 25</t>
        </is>
      </c>
      <c r="D77" s="6" t="inlineStr">
        <is>
          <t>Paris 9ème</t>
        </is>
      </c>
      <c r="E77" s="6" t="inlineStr">
        <is>
          <t>Paris</t>
        </is>
      </c>
      <c r="F77" s="6" t="inlineStr">
        <is>
          <t>France</t>
        </is>
      </c>
      <c r="G77" s="6" t="inlineStr">
        <is>
          <t>Bureaux</t>
        </is>
      </c>
      <c r="H77" s="6" t="n">
        <v>15242</v>
      </c>
      <c r="I77" s="9" t="n">
        <v>73054906</v>
      </c>
      <c r="J77" s="9" t="n">
        <v>68299816.06024271</v>
      </c>
      <c r="K77" s="9" t="n">
        <v>3781434.267054649</v>
      </c>
      <c r="L77" s="6" t="n">
        <v>99.76757086663429</v>
      </c>
      <c r="M77" s="6" t="n">
        <v>12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/>
      <c r="T77" s="6" t="n"/>
    </row>
    <row r="78">
      <c r="A78" s="6" t="inlineStr">
        <is>
          <t>LF Croissance &amp; Territoires</t>
        </is>
      </c>
      <c r="B78" s="6" t="inlineStr">
        <is>
          <t>LF -026</t>
        </is>
      </c>
      <c r="C78" s="6" t="inlineStr">
        <is>
          <t>Immeuble Neuilly-sur-Seine 26</t>
        </is>
      </c>
      <c r="D78" s="6" t="inlineStr">
        <is>
          <t>Neuilly-sur-Seine</t>
        </is>
      </c>
      <c r="E78" s="6" t="inlineStr">
        <is>
          <t>Île-de-France</t>
        </is>
      </c>
      <c r="F78" s="6" t="inlineStr">
        <is>
          <t>France</t>
        </is>
      </c>
      <c r="G78" s="6" t="inlineStr">
        <is>
          <t>Logistique</t>
        </is>
      </c>
      <c r="H78" s="6" t="n">
        <v>12080</v>
      </c>
      <c r="I78" s="9" t="n">
        <v>65908480</v>
      </c>
      <c r="J78" s="9" t="n">
        <v>59046471.77507704</v>
      </c>
      <c r="K78" s="9" t="n">
        <v>3780318.417084392</v>
      </c>
      <c r="L78" s="6" t="n">
        <v>96.57637723255283</v>
      </c>
      <c r="M78" s="6" t="n">
        <v>14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/>
      <c r="T78" s="6" t="n"/>
    </row>
    <row r="79">
      <c r="A79" s="6" t="inlineStr">
        <is>
          <t>LF Croissance &amp; Territoires</t>
        </is>
      </c>
      <c r="B79" s="6" t="inlineStr">
        <is>
          <t>LF -027</t>
        </is>
      </c>
      <c r="C79" s="6" t="inlineStr">
        <is>
          <t>Immeuble Aix-en-Provence 27</t>
        </is>
      </c>
      <c r="D79" s="6" t="inlineStr">
        <is>
          <t>Aix-en-Provence</t>
        </is>
      </c>
      <c r="E79" s="6" t="inlineStr">
        <is>
          <t>Provence-Alpes-Côte d'Azur</t>
        </is>
      </c>
      <c r="F79" s="6" t="inlineStr">
        <is>
          <t>France</t>
        </is>
      </c>
      <c r="G79" s="6" t="inlineStr">
        <is>
          <t>Santé</t>
        </is>
      </c>
      <c r="H79" s="6" t="n">
        <v>19609</v>
      </c>
      <c r="I79" s="9" t="n">
        <v>76396664</v>
      </c>
      <c r="J79" s="9" t="n">
        <v>65902644.24431491</v>
      </c>
      <c r="K79" s="9" t="n">
        <v>4458573.0065746</v>
      </c>
      <c r="L79" s="6" t="n">
        <v>91.32908134780661</v>
      </c>
      <c r="M79" s="6" t="n">
        <v>8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/>
      <c r="T79" s="6" t="n"/>
    </row>
    <row r="80">
      <c r="A80" s="6" t="inlineStr">
        <is>
          <t>LF Croissance &amp; Territoires</t>
        </is>
      </c>
      <c r="B80" s="6" t="inlineStr">
        <is>
          <t>LF -028</t>
        </is>
      </c>
      <c r="C80" s="6" t="inlineStr">
        <is>
          <t>Immeuble Toulouse Labège 28</t>
        </is>
      </c>
      <c r="D80" s="6" t="inlineStr">
        <is>
          <t>Toulouse Labège</t>
        </is>
      </c>
      <c r="E80" s="6" t="inlineStr">
        <is>
          <t>Occitanie</t>
        </is>
      </c>
      <c r="F80" s="6" t="inlineStr">
        <is>
          <t>France</t>
        </is>
      </c>
      <c r="G80" s="6" t="inlineStr">
        <is>
          <t>Santé</t>
        </is>
      </c>
      <c r="H80" s="6" t="n">
        <v>6597</v>
      </c>
      <c r="I80" s="9" t="n">
        <v>52571493</v>
      </c>
      <c r="J80" s="9" t="n">
        <v>47065219.18428744</v>
      </c>
      <c r="K80" s="9" t="n">
        <v>3030599.629428147</v>
      </c>
      <c r="L80" s="6" t="n">
        <v>92.98864676659258</v>
      </c>
      <c r="M80" s="6" t="n">
        <v>10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/>
      <c r="T80" s="6" t="n"/>
    </row>
    <row r="81">
      <c r="A81" s="6" t="inlineStr">
        <is>
          <t>LF Croissance &amp; Territoires</t>
        </is>
      </c>
      <c r="B81" s="6" t="inlineStr">
        <is>
          <t>LF -029</t>
        </is>
      </c>
      <c r="C81" s="6" t="inlineStr">
        <is>
          <t>Immeuble Saint-Denis 29</t>
        </is>
      </c>
      <c r="D81" s="6" t="inlineStr">
        <is>
          <t>Saint-Denis</t>
        </is>
      </c>
      <c r="E81" s="6" t="inlineStr">
        <is>
          <t>Île-de-France</t>
        </is>
      </c>
      <c r="F81" s="6" t="inlineStr">
        <is>
          <t>France</t>
        </is>
      </c>
      <c r="G81" s="6" t="inlineStr">
        <is>
          <t>Activités</t>
        </is>
      </c>
      <c r="H81" s="6" t="n">
        <v>17540</v>
      </c>
      <c r="I81" s="9" t="n">
        <v>106818600</v>
      </c>
      <c r="J81" s="9" t="n">
        <v>95832332.46770874</v>
      </c>
      <c r="K81" s="9" t="n">
        <v>6890399.523875666</v>
      </c>
      <c r="L81" s="6" t="n">
        <v>95.0968886221906</v>
      </c>
      <c r="M81" s="6" t="n">
        <v>9</v>
      </c>
      <c r="N81" s="15" t="n">
        <v>632361</v>
      </c>
      <c r="O81" s="15" t="n">
        <v>227315.6223158034</v>
      </c>
      <c r="P81" s="15" t="n">
        <v>95586.99583344089</v>
      </c>
      <c r="Q81" s="15" t="n">
        <v>91928.02207441232</v>
      </c>
      <c r="R81" s="15" t="n">
        <v>34481.56639719524</v>
      </c>
      <c r="S81" s="16" t="inlineStr">
        <is>
          <t>En cours</t>
        </is>
      </c>
      <c r="T81" s="16" t="inlineStr">
        <is>
          <t>Rénovation énergétique - mise aux normes RT2020</t>
        </is>
      </c>
    </row>
    <row r="82">
      <c r="A82" s="6" t="inlineStr">
        <is>
          <t>LF Croissance &amp; Territoires</t>
        </is>
      </c>
      <c r="B82" s="6" t="inlineStr">
        <is>
          <t>LF -030</t>
        </is>
      </c>
      <c r="C82" s="6" t="inlineStr">
        <is>
          <t>Immeuble Issy-les-Moulineaux 30</t>
        </is>
      </c>
      <c r="D82" s="6" t="inlineStr">
        <is>
          <t>Issy-les-Moulineaux</t>
        </is>
      </c>
      <c r="E82" s="6" t="inlineStr">
        <is>
          <t>Île-de-France</t>
        </is>
      </c>
      <c r="F82" s="6" t="inlineStr">
        <is>
          <t>France</t>
        </is>
      </c>
      <c r="G82" s="6" t="inlineStr">
        <is>
          <t>Santé</t>
        </is>
      </c>
      <c r="H82" s="6" t="n">
        <v>2916</v>
      </c>
      <c r="I82" s="9" t="n">
        <v>10967076</v>
      </c>
      <c r="J82" s="9" t="n">
        <v>9780597.256429566</v>
      </c>
      <c r="K82" s="9" t="n">
        <v>631735.6571515079</v>
      </c>
      <c r="L82" s="6" t="n">
        <v>97.39894380358454</v>
      </c>
      <c r="M82" s="6" t="n">
        <v>6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/>
      <c r="T82" s="6" t="n"/>
    </row>
    <row r="83">
      <c r="A83" s="6" t="inlineStr">
        <is>
          <t>Pierre Sélection</t>
        </is>
      </c>
      <c r="B83" s="6" t="inlineStr">
        <is>
          <t>PIE-001</t>
        </is>
      </c>
      <c r="C83" s="6" t="inlineStr">
        <is>
          <t>Immeuble Paris 8ème 1</t>
        </is>
      </c>
      <c r="D83" s="6" t="inlineStr">
        <is>
          <t>Paris 8ème</t>
        </is>
      </c>
      <c r="E83" s="6" t="inlineStr">
        <is>
          <t>Paris</t>
        </is>
      </c>
      <c r="F83" s="6" t="inlineStr">
        <is>
          <t>France</t>
        </is>
      </c>
      <c r="G83" s="6" t="inlineStr">
        <is>
          <t>Commerces</t>
        </is>
      </c>
      <c r="H83" s="6" t="n">
        <v>5027</v>
      </c>
      <c r="I83" s="9" t="n">
        <v>24994244</v>
      </c>
      <c r="J83" s="9" t="n">
        <v>23318383.83234735</v>
      </c>
      <c r="K83" s="9" t="n">
        <v>1446680.77590565</v>
      </c>
      <c r="L83" s="6" t="n">
        <v>96.91448163074261</v>
      </c>
      <c r="M83" s="6" t="n">
        <v>1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/>
      <c r="T83" s="6" t="n"/>
    </row>
    <row r="84">
      <c r="A84" s="6" t="inlineStr">
        <is>
          <t>Pierre Sélection</t>
        </is>
      </c>
      <c r="B84" s="6" t="inlineStr">
        <is>
          <t>PIE-002</t>
        </is>
      </c>
      <c r="C84" s="6" t="inlineStr">
        <is>
          <t>Immeuble Levallois-Perret 2</t>
        </is>
      </c>
      <c r="D84" s="6" t="inlineStr">
        <is>
          <t>Levallois-Perret</t>
        </is>
      </c>
      <c r="E84" s="6" t="inlineStr">
        <is>
          <t>Île-de-France</t>
        </is>
      </c>
      <c r="F84" s="6" t="inlineStr">
        <is>
          <t>France</t>
        </is>
      </c>
      <c r="G84" s="6" t="inlineStr">
        <is>
          <t>Bureaux</t>
        </is>
      </c>
      <c r="H84" s="6" t="n">
        <v>16971</v>
      </c>
      <c r="I84" s="9" t="n">
        <v>115402800</v>
      </c>
      <c r="J84" s="9" t="n">
        <v>104949524.7748944</v>
      </c>
      <c r="K84" s="9" t="n">
        <v>6748929.698275455</v>
      </c>
      <c r="L84" s="6" t="n">
        <v>89.14873832418155</v>
      </c>
      <c r="M84" s="6" t="n">
        <v>1</v>
      </c>
      <c r="N84" s="15" t="n">
        <v>189045</v>
      </c>
      <c r="O84" s="15" t="n">
        <v>67394.68684139078</v>
      </c>
      <c r="P84" s="15" t="n">
        <v>51572.41144275739</v>
      </c>
      <c r="Q84" s="15" t="n">
        <v>33496.19078312846</v>
      </c>
      <c r="R84" s="15" t="n">
        <v>17901.62262740972</v>
      </c>
      <c r="S84" s="16" t="inlineStr">
        <is>
          <t>En cours</t>
        </is>
      </c>
      <c r="T84" s="16" t="inlineStr">
        <is>
          <t>Installation panneaux solaires</t>
        </is>
      </c>
    </row>
    <row r="85">
      <c r="A85" s="6" t="inlineStr">
        <is>
          <t>Pierre Sélection</t>
        </is>
      </c>
      <c r="B85" s="6" t="inlineStr">
        <is>
          <t>PIE-003</t>
        </is>
      </c>
      <c r="C85" s="6" t="inlineStr">
        <is>
          <t>Immeuble Paris 16ème 3</t>
        </is>
      </c>
      <c r="D85" s="6" t="inlineStr">
        <is>
          <t>Paris 16ème</t>
        </is>
      </c>
      <c r="E85" s="6" t="inlineStr">
        <is>
          <t>Paris</t>
        </is>
      </c>
      <c r="F85" s="6" t="inlineStr">
        <is>
          <t>France</t>
        </is>
      </c>
      <c r="G85" s="6" t="inlineStr">
        <is>
          <t>Santé</t>
        </is>
      </c>
      <c r="H85" s="6" t="n">
        <v>24627</v>
      </c>
      <c r="I85" s="9" t="n">
        <v>127099947</v>
      </c>
      <c r="J85" s="9" t="n">
        <v>129446301.0320179</v>
      </c>
      <c r="K85" s="9" t="n">
        <v>5833531.278870937</v>
      </c>
      <c r="L85" s="6" t="n">
        <v>93.05630725759721</v>
      </c>
      <c r="M85" s="6" t="n">
        <v>7</v>
      </c>
      <c r="N85" s="6" t="n">
        <v>0</v>
      </c>
      <c r="O85" s="6" t="n">
        <v>0</v>
      </c>
      <c r="P85" s="6" t="n">
        <v>0</v>
      </c>
      <c r="Q85" s="6" t="n">
        <v>0</v>
      </c>
      <c r="R85" s="6" t="n">
        <v>0</v>
      </c>
      <c r="S85" s="6" t="n"/>
      <c r="T85" s="6" t="n"/>
    </row>
    <row r="86">
      <c r="A86" s="6" t="inlineStr">
        <is>
          <t>Pierre Sélection</t>
        </is>
      </c>
      <c r="B86" s="6" t="inlineStr">
        <is>
          <t>PIE-004</t>
        </is>
      </c>
      <c r="C86" s="6" t="inlineStr">
        <is>
          <t>Immeuble Paris 17ème 4</t>
        </is>
      </c>
      <c r="D86" s="6" t="inlineStr">
        <is>
          <t>Paris 17ème</t>
        </is>
      </c>
      <c r="E86" s="6" t="inlineStr">
        <is>
          <t>Paris</t>
        </is>
      </c>
      <c r="F86" s="6" t="inlineStr">
        <is>
          <t>France</t>
        </is>
      </c>
      <c r="G86" s="6" t="inlineStr">
        <is>
          <t>Logistique</t>
        </is>
      </c>
      <c r="H86" s="6" t="n">
        <v>5197</v>
      </c>
      <c r="I86" s="9" t="n">
        <v>31831625</v>
      </c>
      <c r="J86" s="9" t="n">
        <v>27674003.61345326</v>
      </c>
      <c r="K86" s="9" t="n">
        <v>1484649.997701216</v>
      </c>
      <c r="L86" s="6" t="n">
        <v>85.97477759719722</v>
      </c>
      <c r="M86" s="6" t="n">
        <v>8</v>
      </c>
      <c r="N86" s="15" t="n">
        <v>2339102</v>
      </c>
      <c r="O86" s="15" t="n">
        <v>988604.1783079804</v>
      </c>
      <c r="P86" s="15" t="n">
        <v>286743.665752007</v>
      </c>
      <c r="Q86" s="15" t="n">
        <v>296301.9373336243</v>
      </c>
      <c r="R86" s="15" t="n">
        <v>169854.6845947372</v>
      </c>
      <c r="S86" s="16" t="inlineStr">
        <is>
          <t>Planifié</t>
        </is>
      </c>
      <c r="T86" s="16" t="inlineStr">
        <is>
          <t>Rénovation parties communes</t>
        </is>
      </c>
    </row>
    <row r="87">
      <c r="A87" s="6" t="inlineStr">
        <is>
          <t>Pierre Sélection</t>
        </is>
      </c>
      <c r="B87" s="6" t="inlineStr">
        <is>
          <t>PIE-005</t>
        </is>
      </c>
      <c r="C87" s="6" t="inlineStr">
        <is>
          <t>Immeuble Issy-les-Moulineaux 5</t>
        </is>
      </c>
      <c r="D87" s="6" t="inlineStr">
        <is>
          <t>Issy-les-Moulineaux</t>
        </is>
      </c>
      <c r="E87" s="6" t="inlineStr">
        <is>
          <t>Île-de-France</t>
        </is>
      </c>
      <c r="F87" s="6" t="inlineStr">
        <is>
          <t>France</t>
        </is>
      </c>
      <c r="G87" s="6" t="inlineStr">
        <is>
          <t>Bureaux</t>
        </is>
      </c>
      <c r="H87" s="6" t="n">
        <v>3767</v>
      </c>
      <c r="I87" s="9" t="n">
        <v>19912362</v>
      </c>
      <c r="J87" s="9" t="n">
        <v>19966114.92681517</v>
      </c>
      <c r="K87" s="9" t="n">
        <v>911186.5633618198</v>
      </c>
      <c r="L87" s="6" t="n">
        <v>89.95666553887182</v>
      </c>
      <c r="M87" s="6" t="n">
        <v>14</v>
      </c>
      <c r="N87" s="6" t="n">
        <v>0</v>
      </c>
      <c r="O87" s="6" t="n">
        <v>0</v>
      </c>
      <c r="P87" s="6" t="n">
        <v>0</v>
      </c>
      <c r="Q87" s="6" t="n">
        <v>0</v>
      </c>
      <c r="R87" s="6" t="n">
        <v>0</v>
      </c>
      <c r="S87" s="6" t="n"/>
      <c r="T87" s="6" t="n"/>
    </row>
    <row r="88">
      <c r="A88" s="6" t="inlineStr">
        <is>
          <t>Pierre Sélection</t>
        </is>
      </c>
      <c r="B88" s="6" t="inlineStr">
        <is>
          <t>PIE-006</t>
        </is>
      </c>
      <c r="C88" s="6" t="inlineStr">
        <is>
          <t>Immeuble Lyon Part-Dieu 6</t>
        </is>
      </c>
      <c r="D88" s="6" t="inlineStr">
        <is>
          <t>Lyon Part-Dieu</t>
        </is>
      </c>
      <c r="E88" s="6" t="inlineStr">
        <is>
          <t>Auvergne-Rhône-Alpes</t>
        </is>
      </c>
      <c r="F88" s="6" t="inlineStr">
        <is>
          <t>France</t>
        </is>
      </c>
      <c r="G88" s="6" t="inlineStr">
        <is>
          <t>Santé</t>
        </is>
      </c>
      <c r="H88" s="6" t="n">
        <v>4511</v>
      </c>
      <c r="I88" s="9" t="n">
        <v>30435717</v>
      </c>
      <c r="J88" s="9" t="n">
        <v>26329663.85712974</v>
      </c>
      <c r="K88" s="9" t="n">
        <v>1899589.839517196</v>
      </c>
      <c r="L88" s="6" t="n">
        <v>96.25432435297137</v>
      </c>
      <c r="M88" s="6" t="n">
        <v>12</v>
      </c>
      <c r="N88" s="6" t="n">
        <v>0</v>
      </c>
      <c r="O88" s="6" t="n">
        <v>0</v>
      </c>
      <c r="P88" s="6" t="n">
        <v>0</v>
      </c>
      <c r="Q88" s="6" t="n">
        <v>0</v>
      </c>
      <c r="R88" s="6" t="n">
        <v>0</v>
      </c>
      <c r="S88" s="6" t="n"/>
      <c r="T88" s="6" t="n"/>
    </row>
    <row r="89">
      <c r="A89" s="6" t="inlineStr">
        <is>
          <t>Pierre Sélection</t>
        </is>
      </c>
      <c r="B89" s="6" t="inlineStr">
        <is>
          <t>PIE-007</t>
        </is>
      </c>
      <c r="C89" s="6" t="inlineStr">
        <is>
          <t>Immeuble Levallois-Perret 7</t>
        </is>
      </c>
      <c r="D89" s="6" t="inlineStr">
        <is>
          <t>Levallois-Perret</t>
        </is>
      </c>
      <c r="E89" s="6" t="inlineStr">
        <is>
          <t>Île-de-France</t>
        </is>
      </c>
      <c r="F89" s="6" t="inlineStr">
        <is>
          <t>France</t>
        </is>
      </c>
      <c r="G89" s="6" t="inlineStr">
        <is>
          <t>Activités</t>
        </is>
      </c>
      <c r="H89" s="6" t="n">
        <v>20985</v>
      </c>
      <c r="I89" s="9" t="n">
        <v>100119435</v>
      </c>
      <c r="J89" s="9" t="n">
        <v>95620426.34925793</v>
      </c>
      <c r="K89" s="9" t="n">
        <v>5481777.602779259</v>
      </c>
      <c r="L89" s="6" t="n">
        <v>91.81700471169046</v>
      </c>
      <c r="M89" s="6" t="n">
        <v>8</v>
      </c>
      <c r="N89" s="6" t="n">
        <v>0</v>
      </c>
      <c r="O89" s="6" t="n">
        <v>0</v>
      </c>
      <c r="P89" s="6" t="n">
        <v>0</v>
      </c>
      <c r="Q89" s="6" t="n">
        <v>0</v>
      </c>
      <c r="R89" s="6" t="n">
        <v>0</v>
      </c>
      <c r="S89" s="6" t="n"/>
      <c r="T89" s="6" t="n"/>
    </row>
    <row r="90">
      <c r="A90" s="6" t="inlineStr">
        <is>
          <t>Pierre Sélection</t>
        </is>
      </c>
      <c r="B90" s="6" t="inlineStr">
        <is>
          <t>PIE-008</t>
        </is>
      </c>
      <c r="C90" s="6" t="inlineStr">
        <is>
          <t>Immeuble Paris 9ème 8</t>
        </is>
      </c>
      <c r="D90" s="6" t="inlineStr">
        <is>
          <t>Paris 9ème</t>
        </is>
      </c>
      <c r="E90" s="6" t="inlineStr">
        <is>
          <t>Paris</t>
        </is>
      </c>
      <c r="F90" s="6" t="inlineStr">
        <is>
          <t>France</t>
        </is>
      </c>
      <c r="G90" s="6" t="inlineStr">
        <is>
          <t>Activités</t>
        </is>
      </c>
      <c r="H90" s="6" t="n">
        <v>8248</v>
      </c>
      <c r="I90" s="9" t="n">
        <v>65819040</v>
      </c>
      <c r="J90" s="9" t="n">
        <v>61832520.82571211</v>
      </c>
      <c r="K90" s="9" t="n">
        <v>3070118.173508206</v>
      </c>
      <c r="L90" s="6" t="n">
        <v>86.74471259840246</v>
      </c>
      <c r="M90" s="6" t="n">
        <v>14</v>
      </c>
      <c r="N90" s="6" t="n">
        <v>0</v>
      </c>
      <c r="O90" s="6" t="n">
        <v>0</v>
      </c>
      <c r="P90" s="6" t="n">
        <v>0</v>
      </c>
      <c r="Q90" s="6" t="n">
        <v>0</v>
      </c>
      <c r="R90" s="6" t="n">
        <v>0</v>
      </c>
      <c r="S90" s="6" t="n"/>
      <c r="T90" s="6" t="n"/>
    </row>
    <row r="91">
      <c r="A91" s="6" t="inlineStr">
        <is>
          <t>Pierre Sélection</t>
        </is>
      </c>
      <c r="B91" s="6" t="inlineStr">
        <is>
          <t>PIE-009</t>
        </is>
      </c>
      <c r="C91" s="6" t="inlineStr">
        <is>
          <t>Immeuble Neuilly-sur-Seine 9</t>
        </is>
      </c>
      <c r="D91" s="6" t="inlineStr">
        <is>
          <t>Neuilly-sur-Seine</t>
        </is>
      </c>
      <c r="E91" s="6" t="inlineStr">
        <is>
          <t>Île-de-France</t>
        </is>
      </c>
      <c r="F91" s="6" t="inlineStr">
        <is>
          <t>France</t>
        </is>
      </c>
      <c r="G91" s="6" t="inlineStr">
        <is>
          <t>Santé</t>
        </is>
      </c>
      <c r="H91" s="6" t="n">
        <v>4783</v>
      </c>
      <c r="I91" s="9" t="n">
        <v>23814557</v>
      </c>
      <c r="J91" s="9" t="n">
        <v>23268201.05202499</v>
      </c>
      <c r="K91" s="9" t="n">
        <v>1422505.595574481</v>
      </c>
      <c r="L91" s="6" t="n">
        <v>99.86524531354763</v>
      </c>
      <c r="M91" s="6" t="n">
        <v>3</v>
      </c>
      <c r="N91" s="6" t="n">
        <v>0</v>
      </c>
      <c r="O91" s="6" t="n">
        <v>0</v>
      </c>
      <c r="P91" s="6" t="n">
        <v>0</v>
      </c>
      <c r="Q91" s="6" t="n">
        <v>0</v>
      </c>
      <c r="R91" s="6" t="n">
        <v>0</v>
      </c>
      <c r="S91" s="6" t="n"/>
      <c r="T91" s="6" t="n"/>
    </row>
    <row r="92">
      <c r="A92" s="6" t="inlineStr">
        <is>
          <t>Pierre Sélection</t>
        </is>
      </c>
      <c r="B92" s="6" t="inlineStr">
        <is>
          <t>PIE-010</t>
        </is>
      </c>
      <c r="C92" s="6" t="inlineStr">
        <is>
          <t>Immeuble Nice 10</t>
        </is>
      </c>
      <c r="D92" s="6" t="inlineStr">
        <is>
          <t>Nice</t>
        </is>
      </c>
      <c r="E92" s="6" t="inlineStr">
        <is>
          <t>Provence-Alpes-Côte d'Azur</t>
        </is>
      </c>
      <c r="F92" s="6" t="inlineStr">
        <is>
          <t>France</t>
        </is>
      </c>
      <c r="G92" s="6" t="inlineStr">
        <is>
          <t>Logistique</t>
        </is>
      </c>
      <c r="H92" s="6" t="n">
        <v>10316</v>
      </c>
      <c r="I92" s="9" t="n">
        <v>64278996</v>
      </c>
      <c r="J92" s="9" t="n">
        <v>63693619.44573071</v>
      </c>
      <c r="K92" s="9" t="n">
        <v>3827228.385369137</v>
      </c>
      <c r="L92" s="6" t="n">
        <v>86.35178822153723</v>
      </c>
      <c r="M92" s="6" t="n">
        <v>15</v>
      </c>
      <c r="N92" s="6" t="n">
        <v>0</v>
      </c>
      <c r="O92" s="6" t="n">
        <v>0</v>
      </c>
      <c r="P92" s="6" t="n">
        <v>0</v>
      </c>
      <c r="Q92" s="6" t="n">
        <v>0</v>
      </c>
      <c r="R92" s="6" t="n">
        <v>0</v>
      </c>
      <c r="S92" s="6" t="n"/>
      <c r="T92" s="6" t="n"/>
    </row>
    <row r="93">
      <c r="A93" s="6" t="inlineStr">
        <is>
          <t>Pierre Sélection</t>
        </is>
      </c>
      <c r="B93" s="6" t="inlineStr">
        <is>
          <t>PIE-011</t>
        </is>
      </c>
      <c r="C93" s="6" t="inlineStr">
        <is>
          <t>Immeuble Toulouse Blagnac 11</t>
        </is>
      </c>
      <c r="D93" s="6" t="inlineStr">
        <is>
          <t>Toulouse Blagnac</t>
        </is>
      </c>
      <c r="E93" s="6" t="inlineStr">
        <is>
          <t>Occitanie</t>
        </is>
      </c>
      <c r="F93" s="6" t="inlineStr">
        <is>
          <t>France</t>
        </is>
      </c>
      <c r="G93" s="6" t="inlineStr">
        <is>
          <t>Logistique</t>
        </is>
      </c>
      <c r="H93" s="6" t="n">
        <v>4907</v>
      </c>
      <c r="I93" s="9" t="n">
        <v>31080938</v>
      </c>
      <c r="J93" s="9" t="n">
        <v>28965534.96132176</v>
      </c>
      <c r="K93" s="9" t="n">
        <v>1430887.967300682</v>
      </c>
      <c r="L93" s="6" t="n">
        <v>90.59738887841844</v>
      </c>
      <c r="M93" s="6" t="n">
        <v>13</v>
      </c>
      <c r="N93" s="15" t="n">
        <v>2379504</v>
      </c>
      <c r="O93" s="15" t="n">
        <v>922264.5438804399</v>
      </c>
      <c r="P93" s="15" t="n">
        <v>458651.921884621</v>
      </c>
      <c r="Q93" s="15" t="n">
        <v>325985.2467375117</v>
      </c>
      <c r="R93" s="15" t="n">
        <v>165253.6244583716</v>
      </c>
      <c r="S93" s="16" t="inlineStr">
        <is>
          <t>Réalisé</t>
        </is>
      </c>
      <c r="T93" s="16" t="inlineStr">
        <is>
          <t>Travaux amiante et désamiantage</t>
        </is>
      </c>
    </row>
    <row r="94">
      <c r="A94" s="6" t="inlineStr">
        <is>
          <t>Pierre Sélection</t>
        </is>
      </c>
      <c r="B94" s="6" t="inlineStr">
        <is>
          <t>PIE-012</t>
        </is>
      </c>
      <c r="C94" s="6" t="inlineStr">
        <is>
          <t>Immeuble Boulogne-Billancourt 12</t>
        </is>
      </c>
      <c r="D94" s="6" t="inlineStr">
        <is>
          <t>Boulogne-Billancourt</t>
        </is>
      </c>
      <c r="E94" s="6" t="inlineStr">
        <is>
          <t>Île-de-France</t>
        </is>
      </c>
      <c r="F94" s="6" t="inlineStr">
        <is>
          <t>France</t>
        </is>
      </c>
      <c r="G94" s="6" t="inlineStr">
        <is>
          <t>Activités</t>
        </is>
      </c>
      <c r="H94" s="6" t="n">
        <v>2669</v>
      </c>
      <c r="I94" s="9" t="n">
        <v>15424151</v>
      </c>
      <c r="J94" s="9" t="n">
        <v>13793934.77808784</v>
      </c>
      <c r="K94" s="9" t="n">
        <v>968518.3342622212</v>
      </c>
      <c r="L94" s="6" t="n">
        <v>94.41724848597184</v>
      </c>
      <c r="M94" s="6" t="n">
        <v>11</v>
      </c>
      <c r="N94" s="15" t="n">
        <v>3106874</v>
      </c>
      <c r="O94" s="15" t="n">
        <v>771173.5698127602</v>
      </c>
      <c r="P94" s="15" t="n">
        <v>550360.2167686722</v>
      </c>
      <c r="Q94" s="15" t="n">
        <v>573778.7445499536</v>
      </c>
      <c r="R94" s="15" t="n">
        <v>364433.3092096104</v>
      </c>
      <c r="S94" s="16" t="inlineStr">
        <is>
          <t>En cours</t>
        </is>
      </c>
      <c r="T94" s="16" t="inlineStr">
        <is>
          <t>Rénovation sanitaires</t>
        </is>
      </c>
    </row>
    <row r="95">
      <c r="A95" s="6" t="inlineStr">
        <is>
          <t>Pierre Sélection</t>
        </is>
      </c>
      <c r="B95" s="6" t="inlineStr">
        <is>
          <t>PIE-013</t>
        </is>
      </c>
      <c r="C95" s="6" t="inlineStr">
        <is>
          <t>Immeuble Toulouse Blagnac 13</t>
        </is>
      </c>
      <c r="D95" s="6" t="inlineStr">
        <is>
          <t>Toulouse Blagnac</t>
        </is>
      </c>
      <c r="E95" s="6" t="inlineStr">
        <is>
          <t>Occitanie</t>
        </is>
      </c>
      <c r="F95" s="6" t="inlineStr">
        <is>
          <t>France</t>
        </is>
      </c>
      <c r="G95" s="6" t="inlineStr">
        <is>
          <t>Activités</t>
        </is>
      </c>
      <c r="H95" s="6" t="n">
        <v>7981</v>
      </c>
      <c r="I95" s="9" t="n">
        <v>43153267</v>
      </c>
      <c r="J95" s="9" t="n">
        <v>42231280.87363715</v>
      </c>
      <c r="K95" s="9" t="n">
        <v>2801137.176369851</v>
      </c>
      <c r="L95" s="6" t="n">
        <v>94.87691305885987</v>
      </c>
      <c r="M95" s="6" t="n">
        <v>5</v>
      </c>
      <c r="N95" s="6" t="n">
        <v>0</v>
      </c>
      <c r="O95" s="6" t="n">
        <v>0</v>
      </c>
      <c r="P95" s="6" t="n">
        <v>0</v>
      </c>
      <c r="Q95" s="6" t="n">
        <v>0</v>
      </c>
      <c r="R95" s="6" t="n">
        <v>0</v>
      </c>
      <c r="S95" s="6" t="n"/>
      <c r="T95" s="6" t="n"/>
    </row>
    <row r="96">
      <c r="A96" s="6" t="inlineStr">
        <is>
          <t>Pierre Sélection</t>
        </is>
      </c>
      <c r="B96" s="6" t="inlineStr">
        <is>
          <t>PIE-014</t>
        </is>
      </c>
      <c r="C96" s="6" t="inlineStr">
        <is>
          <t>Immeuble Montpellier 14</t>
        </is>
      </c>
      <c r="D96" s="6" t="inlineStr">
        <is>
          <t>Montpellier</t>
        </is>
      </c>
      <c r="E96" s="6" t="inlineStr">
        <is>
          <t>Occitanie</t>
        </is>
      </c>
      <c r="F96" s="6" t="inlineStr">
        <is>
          <t>France</t>
        </is>
      </c>
      <c r="G96" s="6" t="inlineStr">
        <is>
          <t>Bureaux</t>
        </is>
      </c>
      <c r="H96" s="6" t="n">
        <v>19191</v>
      </c>
      <c r="I96" s="9" t="n">
        <v>105704028</v>
      </c>
      <c r="J96" s="9" t="n">
        <v>109803733.5466024</v>
      </c>
      <c r="K96" s="9" t="n">
        <v>5869675.229084543</v>
      </c>
      <c r="L96" s="6" t="n">
        <v>98.11605690154943</v>
      </c>
      <c r="M96" s="6" t="n">
        <v>7</v>
      </c>
      <c r="N96" s="15" t="n">
        <v>1675561</v>
      </c>
      <c r="O96" s="15" t="n">
        <v>683296.1705501309</v>
      </c>
      <c r="P96" s="15" t="n">
        <v>234023.9678948913</v>
      </c>
      <c r="Q96" s="15" t="n">
        <v>321612.1352902658</v>
      </c>
      <c r="R96" s="15" t="n">
        <v>173903.7379127606</v>
      </c>
      <c r="S96" s="16" t="inlineStr">
        <is>
          <t>En cours</t>
        </is>
      </c>
      <c r="T96" s="16" t="inlineStr">
        <is>
          <t>Rénovation parties communes</t>
        </is>
      </c>
    </row>
    <row r="97">
      <c r="A97" s="6" t="inlineStr">
        <is>
          <t>Pierre Sélection</t>
        </is>
      </c>
      <c r="B97" s="6" t="inlineStr">
        <is>
          <t>PIE-015</t>
        </is>
      </c>
      <c r="C97" s="6" t="inlineStr">
        <is>
          <t>Immeuble Paris 17ème 15</t>
        </is>
      </c>
      <c r="D97" s="6" t="inlineStr">
        <is>
          <t>Paris 17ème</t>
        </is>
      </c>
      <c r="E97" s="6" t="inlineStr">
        <is>
          <t>Paris</t>
        </is>
      </c>
      <c r="F97" s="6" t="inlineStr">
        <is>
          <t>France</t>
        </is>
      </c>
      <c r="G97" s="6" t="inlineStr">
        <is>
          <t>Logistique</t>
        </is>
      </c>
      <c r="H97" s="6" t="n">
        <v>24693</v>
      </c>
      <c r="I97" s="9" t="n">
        <v>92672829</v>
      </c>
      <c r="J97" s="9" t="n">
        <v>79477648.25477967</v>
      </c>
      <c r="K97" s="9" t="n">
        <v>4485580.322834568</v>
      </c>
      <c r="L97" s="6" t="n">
        <v>97.8850039196758</v>
      </c>
      <c r="M97" s="6" t="n">
        <v>14</v>
      </c>
      <c r="N97" s="6" t="n">
        <v>0</v>
      </c>
      <c r="O97" s="6" t="n">
        <v>0</v>
      </c>
      <c r="P97" s="6" t="n">
        <v>0</v>
      </c>
      <c r="Q97" s="6" t="n">
        <v>0</v>
      </c>
      <c r="R97" s="6" t="n">
        <v>0</v>
      </c>
      <c r="S97" s="6" t="n"/>
      <c r="T97" s="6" t="n"/>
    </row>
    <row r="98">
      <c r="A98" s="6" t="inlineStr">
        <is>
          <t>Pierre Sélection</t>
        </is>
      </c>
      <c r="B98" s="6" t="inlineStr">
        <is>
          <t>PIE-016</t>
        </is>
      </c>
      <c r="C98" s="6" t="inlineStr">
        <is>
          <t>Immeuble Paris 17ème 16</t>
        </is>
      </c>
      <c r="D98" s="6" t="inlineStr">
        <is>
          <t>Paris 17ème</t>
        </is>
      </c>
      <c r="E98" s="6" t="inlineStr">
        <is>
          <t>Paris</t>
        </is>
      </c>
      <c r="F98" s="6" t="inlineStr">
        <is>
          <t>France</t>
        </is>
      </c>
      <c r="G98" s="6" t="inlineStr">
        <is>
          <t>Bureaux</t>
        </is>
      </c>
      <c r="H98" s="6" t="n">
        <v>3658</v>
      </c>
      <c r="I98" s="9" t="n">
        <v>18717986</v>
      </c>
      <c r="J98" s="9" t="n">
        <v>17235807.5871547</v>
      </c>
      <c r="K98" s="9" t="n">
        <v>902771.1398282043</v>
      </c>
      <c r="L98" s="6" t="n">
        <v>86.4460358190447</v>
      </c>
      <c r="M98" s="6" t="n">
        <v>4</v>
      </c>
      <c r="N98" s="6" t="n">
        <v>0</v>
      </c>
      <c r="O98" s="6" t="n">
        <v>0</v>
      </c>
      <c r="P98" s="6" t="n">
        <v>0</v>
      </c>
      <c r="Q98" s="6" t="n">
        <v>0</v>
      </c>
      <c r="R98" s="6" t="n">
        <v>0</v>
      </c>
      <c r="S98" s="6" t="n"/>
      <c r="T98" s="6" t="n"/>
    </row>
    <row r="99">
      <c r="A99" s="6" t="inlineStr">
        <is>
          <t>Pierre Sélection</t>
        </is>
      </c>
      <c r="B99" s="6" t="inlineStr">
        <is>
          <t>PIE-017</t>
        </is>
      </c>
      <c r="C99" s="6" t="inlineStr">
        <is>
          <t>Immeuble Rennes 17</t>
        </is>
      </c>
      <c r="D99" s="6" t="inlineStr">
        <is>
          <t>Rennes</t>
        </is>
      </c>
      <c r="E99" s="6" t="inlineStr">
        <is>
          <t>Bretagne</t>
        </is>
      </c>
      <c r="F99" s="6" t="inlineStr">
        <is>
          <t>France</t>
        </is>
      </c>
      <c r="G99" s="6" t="inlineStr">
        <is>
          <t>Commerces</t>
        </is>
      </c>
      <c r="H99" s="6" t="n">
        <v>7857</v>
      </c>
      <c r="I99" s="9" t="n">
        <v>37517175</v>
      </c>
      <c r="J99" s="9" t="n">
        <v>32824649.50373221</v>
      </c>
      <c r="K99" s="9" t="n">
        <v>2365925.558866658</v>
      </c>
      <c r="L99" s="6" t="n">
        <v>96.8143827297296</v>
      </c>
      <c r="M99" s="6" t="n">
        <v>1</v>
      </c>
      <c r="N99" s="15" t="n">
        <v>1496926</v>
      </c>
      <c r="O99" s="15" t="n">
        <v>615985.7209514624</v>
      </c>
      <c r="P99" s="15" t="n">
        <v>416232.6872966821</v>
      </c>
      <c r="Q99" s="15" t="n">
        <v>240563.1228706705</v>
      </c>
      <c r="R99" s="15" t="n">
        <v>188378.8824202954</v>
      </c>
      <c r="S99" s="16" t="inlineStr">
        <is>
          <t>Planifié</t>
        </is>
      </c>
      <c r="T99" s="16" t="inlineStr">
        <is>
          <t>Rénovation façades et menuiseries</t>
        </is>
      </c>
    </row>
    <row r="100">
      <c r="A100" s="6" t="inlineStr">
        <is>
          <t>Atout Pierre Diversification</t>
        </is>
      </c>
      <c r="B100" s="6" t="inlineStr">
        <is>
          <t>ATO-001</t>
        </is>
      </c>
      <c r="C100" s="6" t="inlineStr">
        <is>
          <t>Immeuble Bordeaux Euratlantique 1</t>
        </is>
      </c>
      <c r="D100" s="6" t="inlineStr">
        <is>
          <t>Bordeaux Euratlantique</t>
        </is>
      </c>
      <c r="E100" s="6" t="inlineStr">
        <is>
          <t>Nouvelle-Aquitaine</t>
        </is>
      </c>
      <c r="F100" s="6" t="inlineStr">
        <is>
          <t>France</t>
        </is>
      </c>
      <c r="G100" s="6" t="inlineStr">
        <is>
          <t>Commerces</t>
        </is>
      </c>
      <c r="H100" s="6" t="n">
        <v>21311</v>
      </c>
      <c r="I100" s="9" t="n">
        <v>73927859</v>
      </c>
      <c r="J100" s="9" t="n">
        <v>67584005.81638224</v>
      </c>
      <c r="K100" s="9" t="n">
        <v>3809652.671547517</v>
      </c>
      <c r="L100" s="6" t="n">
        <v>93.92014119491733</v>
      </c>
      <c r="M100" s="6" t="n">
        <v>2</v>
      </c>
      <c r="N100" s="15" t="n">
        <v>3076306</v>
      </c>
      <c r="O100" s="15" t="n">
        <v>819542.732632034</v>
      </c>
      <c r="P100" s="15" t="n">
        <v>567378.6192450912</v>
      </c>
      <c r="Q100" s="15" t="n">
        <v>409664.2044015857</v>
      </c>
      <c r="R100" s="15" t="n">
        <v>271457.0048141477</v>
      </c>
      <c r="S100" s="16" t="inlineStr">
        <is>
          <t>Planifié</t>
        </is>
      </c>
      <c r="T100" s="16" t="inlineStr">
        <is>
          <t>Création espaces verts et terrasses</t>
        </is>
      </c>
    </row>
    <row r="101">
      <c r="A101" s="6" t="inlineStr">
        <is>
          <t>Atout Pierre Diversification</t>
        </is>
      </c>
      <c r="B101" s="6" t="inlineStr">
        <is>
          <t>ATO-002</t>
        </is>
      </c>
      <c r="C101" s="6" t="inlineStr">
        <is>
          <t>Immeuble Bordeaux Euratlantique 2</t>
        </is>
      </c>
      <c r="D101" s="6" t="inlineStr">
        <is>
          <t>Bordeaux Euratlantique</t>
        </is>
      </c>
      <c r="E101" s="6" t="inlineStr">
        <is>
          <t>Nouvelle-Aquitaine</t>
        </is>
      </c>
      <c r="F101" s="6" t="inlineStr">
        <is>
          <t>France</t>
        </is>
      </c>
      <c r="G101" s="6" t="inlineStr">
        <is>
          <t>Santé</t>
        </is>
      </c>
      <c r="H101" s="6" t="n">
        <v>8726</v>
      </c>
      <c r="I101" s="9" t="n">
        <v>68743428</v>
      </c>
      <c r="J101" s="9" t="n">
        <v>61470113.07490855</v>
      </c>
      <c r="K101" s="9" t="n">
        <v>3471664.200491293</v>
      </c>
      <c r="L101" s="6" t="n">
        <v>97.78395961106315</v>
      </c>
      <c r="M101" s="6" t="n">
        <v>1</v>
      </c>
      <c r="N101" s="6" t="n">
        <v>0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/>
      <c r="T101" s="6" t="n"/>
    </row>
    <row r="102">
      <c r="A102" s="6" t="inlineStr">
        <is>
          <t>Atout Pierre Diversification</t>
        </is>
      </c>
      <c r="B102" s="6" t="inlineStr">
        <is>
          <t>ATO-003</t>
        </is>
      </c>
      <c r="C102" s="6" t="inlineStr">
        <is>
          <t>Immeuble Paris 8ème 3</t>
        </is>
      </c>
      <c r="D102" s="6" t="inlineStr">
        <is>
          <t>Paris 8ème</t>
        </is>
      </c>
      <c r="E102" s="6" t="inlineStr">
        <is>
          <t>Paris</t>
        </is>
      </c>
      <c r="F102" s="6" t="inlineStr">
        <is>
          <t>France</t>
        </is>
      </c>
      <c r="G102" s="6" t="inlineStr">
        <is>
          <t>Commerces</t>
        </is>
      </c>
      <c r="H102" s="6" t="n">
        <v>16840</v>
      </c>
      <c r="I102" s="9" t="n">
        <v>93360960</v>
      </c>
      <c r="J102" s="9" t="n">
        <v>80246313.60424191</v>
      </c>
      <c r="K102" s="9" t="n">
        <v>5670271.660486124</v>
      </c>
      <c r="L102" s="6" t="n">
        <v>88.70664583500161</v>
      </c>
      <c r="M102" s="6" t="n">
        <v>11</v>
      </c>
      <c r="N102" s="6" t="n">
        <v>0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/>
      <c r="T102" s="6" t="n"/>
    </row>
    <row r="103">
      <c r="A103" s="6" t="inlineStr">
        <is>
          <t>Atout Pierre Diversification</t>
        </is>
      </c>
      <c r="B103" s="6" t="inlineStr">
        <is>
          <t>ATO-004</t>
        </is>
      </c>
      <c r="C103" s="6" t="inlineStr">
        <is>
          <t>Immeuble Montpellier 4</t>
        </is>
      </c>
      <c r="D103" s="6" t="inlineStr">
        <is>
          <t>Montpellier</t>
        </is>
      </c>
      <c r="E103" s="6" t="inlineStr">
        <is>
          <t>Occitanie</t>
        </is>
      </c>
      <c r="F103" s="6" t="inlineStr">
        <is>
          <t>France</t>
        </is>
      </c>
      <c r="G103" s="6" t="inlineStr">
        <is>
          <t>Santé</t>
        </is>
      </c>
      <c r="H103" s="6" t="n">
        <v>4164</v>
      </c>
      <c r="I103" s="9" t="n">
        <v>24804948</v>
      </c>
      <c r="J103" s="9" t="n">
        <v>25657709.56087694</v>
      </c>
      <c r="K103" s="9" t="n">
        <v>1384592.037451519</v>
      </c>
      <c r="L103" s="6" t="n">
        <v>87.30398672318074</v>
      </c>
      <c r="M103" s="6" t="n">
        <v>14</v>
      </c>
      <c r="N103" s="6" t="n">
        <v>0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/>
      <c r="T103" s="6" t="n"/>
    </row>
    <row r="104">
      <c r="A104" s="6" t="inlineStr">
        <is>
          <t>Atout Pierre Diversification</t>
        </is>
      </c>
      <c r="B104" s="6" t="inlineStr">
        <is>
          <t>ATO-005</t>
        </is>
      </c>
      <c r="C104" s="6" t="inlineStr">
        <is>
          <t>Immeuble Toulouse Labège 5</t>
        </is>
      </c>
      <c r="D104" s="6" t="inlineStr">
        <is>
          <t>Toulouse Labège</t>
        </is>
      </c>
      <c r="E104" s="6" t="inlineStr">
        <is>
          <t>Occitanie</t>
        </is>
      </c>
      <c r="F104" s="6" t="inlineStr">
        <is>
          <t>France</t>
        </is>
      </c>
      <c r="G104" s="6" t="inlineStr">
        <is>
          <t>Commerces</t>
        </is>
      </c>
      <c r="H104" s="6" t="n">
        <v>12221</v>
      </c>
      <c r="I104" s="9" t="n">
        <v>48676243</v>
      </c>
      <c r="J104" s="9" t="n">
        <v>43358778.05126834</v>
      </c>
      <c r="K104" s="9" t="n">
        <v>3133035.71373559</v>
      </c>
      <c r="L104" s="6" t="n">
        <v>99.22663722076761</v>
      </c>
      <c r="M104" s="6" t="n">
        <v>3</v>
      </c>
      <c r="N104" s="15" t="n">
        <v>2301145</v>
      </c>
      <c r="O104" s="15" t="n">
        <v>589946.8236100926</v>
      </c>
      <c r="P104" s="15" t="n">
        <v>269969.2103085877</v>
      </c>
      <c r="Q104" s="15" t="n">
        <v>413076.9003598936</v>
      </c>
      <c r="R104" s="15" t="n">
        <v>302491.7213302135</v>
      </c>
      <c r="S104" s="16" t="inlineStr">
        <is>
          <t>En cours</t>
        </is>
      </c>
      <c r="T104" s="16" t="inlineStr">
        <is>
          <t>Mise aux normes sécurité incendie</t>
        </is>
      </c>
    </row>
    <row r="105">
      <c r="A105" s="6" t="inlineStr">
        <is>
          <t>Atout Pierre Diversification</t>
        </is>
      </c>
      <c r="B105" s="6" t="inlineStr">
        <is>
          <t>ATO-006</t>
        </is>
      </c>
      <c r="C105" s="6" t="inlineStr">
        <is>
          <t>Immeuble Aix-en-Provence 6</t>
        </is>
      </c>
      <c r="D105" s="6" t="inlineStr">
        <is>
          <t>Aix-en-Provence</t>
        </is>
      </c>
      <c r="E105" s="6" t="inlineStr">
        <is>
          <t>Provence-Alpes-Côte d'Azur</t>
        </is>
      </c>
      <c r="F105" s="6" t="inlineStr">
        <is>
          <t>France</t>
        </is>
      </c>
      <c r="G105" s="6" t="inlineStr">
        <is>
          <t>Santé</t>
        </is>
      </c>
      <c r="H105" s="6" t="n">
        <v>2088</v>
      </c>
      <c r="I105" s="9" t="n">
        <v>8888616</v>
      </c>
      <c r="J105" s="9" t="n">
        <v>8159646.044629925</v>
      </c>
      <c r="K105" s="9" t="n">
        <v>441986.7938119989</v>
      </c>
      <c r="L105" s="6" t="n">
        <v>87.36336458678507</v>
      </c>
      <c r="M105" s="6" t="n">
        <v>3</v>
      </c>
      <c r="N105" s="6" t="n">
        <v>0</v>
      </c>
      <c r="O105" s="6" t="n">
        <v>0</v>
      </c>
      <c r="P105" s="6" t="n">
        <v>0</v>
      </c>
      <c r="Q105" s="6" t="n">
        <v>0</v>
      </c>
      <c r="R105" s="6" t="n">
        <v>0</v>
      </c>
      <c r="S105" s="6" t="n"/>
      <c r="T105" s="6" t="n"/>
    </row>
    <row r="106">
      <c r="A106" s="6" t="inlineStr">
        <is>
          <t>Atout Pierre Diversification</t>
        </is>
      </c>
      <c r="B106" s="6" t="inlineStr">
        <is>
          <t>ATO-007</t>
        </is>
      </c>
      <c r="C106" s="6" t="inlineStr">
        <is>
          <t>Immeuble Aix-en-Provence 7</t>
        </is>
      </c>
      <c r="D106" s="6" t="inlineStr">
        <is>
          <t>Aix-en-Provence</t>
        </is>
      </c>
      <c r="E106" s="6" t="inlineStr">
        <is>
          <t>Provence-Alpes-Côte d'Azur</t>
        </is>
      </c>
      <c r="F106" s="6" t="inlineStr">
        <is>
          <t>France</t>
        </is>
      </c>
      <c r="G106" s="6" t="inlineStr">
        <is>
          <t>Activités</t>
        </is>
      </c>
      <c r="H106" s="6" t="n">
        <v>11082</v>
      </c>
      <c r="I106" s="9" t="n">
        <v>58989486</v>
      </c>
      <c r="J106" s="9" t="n">
        <v>59400199.32945614</v>
      </c>
      <c r="K106" s="9" t="n">
        <v>3356214.591351278</v>
      </c>
      <c r="L106" s="6" t="n">
        <v>87.18505196118035</v>
      </c>
      <c r="M106" s="6" t="n">
        <v>3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0</v>
      </c>
      <c r="S106" s="6" t="n"/>
      <c r="T106" s="6" t="n"/>
    </row>
    <row r="107">
      <c r="A107" s="6" t="inlineStr">
        <is>
          <t>Atout Pierre Diversification</t>
        </is>
      </c>
      <c r="B107" s="6" t="inlineStr">
        <is>
          <t>ATO-008</t>
        </is>
      </c>
      <c r="C107" s="6" t="inlineStr">
        <is>
          <t>Immeuble Paris 17ème 8</t>
        </is>
      </c>
      <c r="D107" s="6" t="inlineStr">
        <is>
          <t>Paris 17ème</t>
        </is>
      </c>
      <c r="E107" s="6" t="inlineStr">
        <is>
          <t>Paris</t>
        </is>
      </c>
      <c r="F107" s="6" t="inlineStr">
        <is>
          <t>France</t>
        </is>
      </c>
      <c r="G107" s="6" t="inlineStr">
        <is>
          <t>Bureaux</t>
        </is>
      </c>
      <c r="H107" s="6" t="n">
        <v>6689</v>
      </c>
      <c r="I107" s="9" t="n">
        <v>46555440</v>
      </c>
      <c r="J107" s="9" t="n">
        <v>44168116.12824741</v>
      </c>
      <c r="K107" s="9" t="n">
        <v>2864354.096241774</v>
      </c>
      <c r="L107" s="6" t="n">
        <v>87.49897916268071</v>
      </c>
      <c r="M107" s="6" t="n">
        <v>10</v>
      </c>
      <c r="N107" s="6" t="n">
        <v>0</v>
      </c>
      <c r="O107" s="6" t="n">
        <v>0</v>
      </c>
      <c r="P107" s="6" t="n">
        <v>0</v>
      </c>
      <c r="Q107" s="6" t="n">
        <v>0</v>
      </c>
      <c r="R107" s="6" t="n">
        <v>0</v>
      </c>
      <c r="S107" s="6" t="n"/>
      <c r="T107" s="6" t="n"/>
    </row>
    <row r="108">
      <c r="A108" s="6" t="inlineStr">
        <is>
          <t>Atout Pierre Diversification</t>
        </is>
      </c>
      <c r="B108" s="6" t="inlineStr">
        <is>
          <t>ATO-009</t>
        </is>
      </c>
      <c r="C108" s="6" t="inlineStr">
        <is>
          <t>Immeuble Boulogne-Billancourt 9</t>
        </is>
      </c>
      <c r="D108" s="6" t="inlineStr">
        <is>
          <t>Boulogne-Billancourt</t>
        </is>
      </c>
      <c r="E108" s="6" t="inlineStr">
        <is>
          <t>Île-de-France</t>
        </is>
      </c>
      <c r="F108" s="6" t="inlineStr">
        <is>
          <t>France</t>
        </is>
      </c>
      <c r="G108" s="6" t="inlineStr">
        <is>
          <t>Logistique</t>
        </is>
      </c>
      <c r="H108" s="6" t="n">
        <v>19998</v>
      </c>
      <c r="I108" s="9" t="n">
        <v>120167982</v>
      </c>
      <c r="J108" s="9" t="n">
        <v>115958603.0204338</v>
      </c>
      <c r="K108" s="9" t="n">
        <v>7450253.302929192</v>
      </c>
      <c r="L108" s="6" t="n">
        <v>88.00418095127762</v>
      </c>
      <c r="M108" s="6" t="n">
        <v>5</v>
      </c>
      <c r="N108" s="15" t="n">
        <v>755912</v>
      </c>
      <c r="O108" s="15" t="n">
        <v>304052.8306028441</v>
      </c>
      <c r="P108" s="15" t="n">
        <v>171388.3810595672</v>
      </c>
      <c r="Q108" s="15" t="n">
        <v>118572.1407745604</v>
      </c>
      <c r="R108" s="15" t="n">
        <v>89685.54257601211</v>
      </c>
      <c r="S108" s="16" t="inlineStr">
        <is>
          <t>En cours</t>
        </is>
      </c>
      <c r="T108" s="16" t="inlineStr">
        <is>
          <t>Rénovation énergétique - mise aux normes RT2020</t>
        </is>
      </c>
    </row>
    <row r="109">
      <c r="A109" s="6" t="inlineStr">
        <is>
          <t>Atout Pierre Diversification</t>
        </is>
      </c>
      <c r="B109" s="6" t="inlineStr">
        <is>
          <t>ATO-010</t>
        </is>
      </c>
      <c r="C109" s="6" t="inlineStr">
        <is>
          <t>Immeuble Saint-Denis 10</t>
        </is>
      </c>
      <c r="D109" s="6" t="inlineStr">
        <is>
          <t>Saint-Denis</t>
        </is>
      </c>
      <c r="E109" s="6" t="inlineStr">
        <is>
          <t>Île-de-France</t>
        </is>
      </c>
      <c r="F109" s="6" t="inlineStr">
        <is>
          <t>France</t>
        </is>
      </c>
      <c r="G109" s="6" t="inlineStr">
        <is>
          <t>Santé</t>
        </is>
      </c>
      <c r="H109" s="6" t="n">
        <v>19825</v>
      </c>
      <c r="I109" s="9" t="n">
        <v>128347050</v>
      </c>
      <c r="J109" s="9" t="n">
        <v>113918121.9585803</v>
      </c>
      <c r="K109" s="9" t="n">
        <v>6005739.225245492</v>
      </c>
      <c r="L109" s="6" t="n">
        <v>97.31133483335287</v>
      </c>
      <c r="M109" s="6" t="n">
        <v>14</v>
      </c>
      <c r="N109" s="6" t="n">
        <v>0</v>
      </c>
      <c r="O109" s="6" t="n">
        <v>0</v>
      </c>
      <c r="P109" s="6" t="n">
        <v>0</v>
      </c>
      <c r="Q109" s="6" t="n">
        <v>0</v>
      </c>
      <c r="R109" s="6" t="n">
        <v>0</v>
      </c>
      <c r="S109" s="6" t="n"/>
      <c r="T109" s="6" t="n"/>
    </row>
    <row r="110">
      <c r="A110" s="6" t="inlineStr">
        <is>
          <t>Atout Pierre Diversification</t>
        </is>
      </c>
      <c r="B110" s="6" t="inlineStr">
        <is>
          <t>ATO-011</t>
        </is>
      </c>
      <c r="C110" s="6" t="inlineStr">
        <is>
          <t>Immeuble Toulouse Labège 11</t>
        </is>
      </c>
      <c r="D110" s="6" t="inlineStr">
        <is>
          <t>Toulouse Labège</t>
        </is>
      </c>
      <c r="E110" s="6" t="inlineStr">
        <is>
          <t>Occitanie</t>
        </is>
      </c>
      <c r="F110" s="6" t="inlineStr">
        <is>
          <t>France</t>
        </is>
      </c>
      <c r="G110" s="6" t="inlineStr">
        <is>
          <t>Bureaux</t>
        </is>
      </c>
      <c r="H110" s="6" t="n">
        <v>14024</v>
      </c>
      <c r="I110" s="9" t="n">
        <v>99935024</v>
      </c>
      <c r="J110" s="9" t="n">
        <v>103062952.2516454</v>
      </c>
      <c r="K110" s="9" t="n">
        <v>5354190.310671339</v>
      </c>
      <c r="L110" s="6" t="n">
        <v>86.33057032621264</v>
      </c>
      <c r="M110" s="6" t="n">
        <v>9</v>
      </c>
      <c r="N110" s="6" t="n">
        <v>0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/>
      <c r="T110" s="6" t="n"/>
    </row>
    <row r="111">
      <c r="A111" s="6" t="inlineStr">
        <is>
          <t>Atout Pierre Diversification</t>
        </is>
      </c>
      <c r="B111" s="6" t="inlineStr">
        <is>
          <t>ATO-012</t>
        </is>
      </c>
      <c r="C111" s="6" t="inlineStr">
        <is>
          <t>Immeuble Marseille Euroméditerranée 12</t>
        </is>
      </c>
      <c r="D111" s="6" t="inlineStr">
        <is>
          <t>Marseille Euroméditerranée</t>
        </is>
      </c>
      <c r="E111" s="6" t="inlineStr">
        <is>
          <t>Provence-Alpes-Côte d'Azur</t>
        </is>
      </c>
      <c r="F111" s="6" t="inlineStr">
        <is>
          <t>France</t>
        </is>
      </c>
      <c r="G111" s="6" t="inlineStr">
        <is>
          <t>Bureaux</t>
        </is>
      </c>
      <c r="H111" s="6" t="n">
        <v>5947</v>
      </c>
      <c r="I111" s="9" t="n">
        <v>42568626</v>
      </c>
      <c r="J111" s="9" t="n">
        <v>43728965.23408456</v>
      </c>
      <c r="K111" s="9" t="n">
        <v>2398003.596017483</v>
      </c>
      <c r="L111" s="6" t="n">
        <v>95.47722437400034</v>
      </c>
      <c r="M111" s="6" t="n">
        <v>9</v>
      </c>
      <c r="N111" s="6" t="n">
        <v>0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/>
      <c r="T111" s="6" t="n"/>
    </row>
    <row r="112">
      <c r="A112" s="6" t="inlineStr">
        <is>
          <t>Atout Pierre Diversification</t>
        </is>
      </c>
      <c r="B112" s="6" t="inlineStr">
        <is>
          <t>ATO-013</t>
        </is>
      </c>
      <c r="C112" s="6" t="inlineStr">
        <is>
          <t>Immeuble La Défense 13</t>
        </is>
      </c>
      <c r="D112" s="6" t="inlineStr">
        <is>
          <t>La Défense</t>
        </is>
      </c>
      <c r="E112" s="6" t="inlineStr">
        <is>
          <t>Île-de-France</t>
        </is>
      </c>
      <c r="F112" s="6" t="inlineStr">
        <is>
          <t>France</t>
        </is>
      </c>
      <c r="G112" s="6" t="inlineStr">
        <is>
          <t>Commerces</t>
        </is>
      </c>
      <c r="H112" s="6" t="n">
        <v>12150</v>
      </c>
      <c r="I112" s="9" t="n">
        <v>69558750</v>
      </c>
      <c r="J112" s="9" t="n">
        <v>66523157.74682084</v>
      </c>
      <c r="K112" s="9" t="n">
        <v>3650594.589422327</v>
      </c>
      <c r="L112" s="6" t="n">
        <v>86.88904501473216</v>
      </c>
      <c r="M112" s="6" t="n">
        <v>1</v>
      </c>
      <c r="N112" s="15" t="n">
        <v>516386</v>
      </c>
      <c r="O112" s="15" t="n">
        <v>188267.9305872284</v>
      </c>
      <c r="P112" s="15" t="n">
        <v>96606.34204920703</v>
      </c>
      <c r="Q112" s="15" t="n">
        <v>92436.95358929472</v>
      </c>
      <c r="R112" s="15" t="n">
        <v>50213.50075494893</v>
      </c>
      <c r="S112" s="16" t="inlineStr">
        <is>
          <t>Planifié</t>
        </is>
      </c>
      <c r="T112" s="16" t="inlineStr">
        <is>
          <t>Rénovation sanitaires</t>
        </is>
      </c>
    </row>
    <row r="113">
      <c r="A113" s="6" t="inlineStr">
        <is>
          <t>Atout Pierre Diversification</t>
        </is>
      </c>
      <c r="B113" s="6" t="inlineStr">
        <is>
          <t>ATO-014</t>
        </is>
      </c>
      <c r="C113" s="6" t="inlineStr">
        <is>
          <t>Immeuble Boulogne-Billancourt 14</t>
        </is>
      </c>
      <c r="D113" s="6" t="inlineStr">
        <is>
          <t>Boulogne-Billancourt</t>
        </is>
      </c>
      <c r="E113" s="6" t="inlineStr">
        <is>
          <t>Île-de-France</t>
        </is>
      </c>
      <c r="F113" s="6" t="inlineStr">
        <is>
          <t>France</t>
        </is>
      </c>
      <c r="G113" s="6" t="inlineStr">
        <is>
          <t>Santé</t>
        </is>
      </c>
      <c r="H113" s="6" t="n">
        <v>7055</v>
      </c>
      <c r="I113" s="9" t="n">
        <v>36255645</v>
      </c>
      <c r="J113" s="9" t="n">
        <v>37311758.41541953</v>
      </c>
      <c r="K113" s="9" t="n">
        <v>1954308.605286029</v>
      </c>
      <c r="L113" s="6" t="n">
        <v>93.448178084376</v>
      </c>
      <c r="M113" s="6" t="n">
        <v>11</v>
      </c>
      <c r="N113" s="6" t="n">
        <v>0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/>
      <c r="T113" s="6" t="n"/>
    </row>
    <row r="114">
      <c r="A114" s="6" t="inlineStr">
        <is>
          <t>Atout Pierre Diversification</t>
        </is>
      </c>
      <c r="B114" s="6" t="inlineStr">
        <is>
          <t>ATO-015</t>
        </is>
      </c>
      <c r="C114" s="6" t="inlineStr">
        <is>
          <t>Immeuble Nice 15</t>
        </is>
      </c>
      <c r="D114" s="6" t="inlineStr">
        <is>
          <t>Nice</t>
        </is>
      </c>
      <c r="E114" s="6" t="inlineStr">
        <is>
          <t>Provence-Alpes-Côte d'Azur</t>
        </is>
      </c>
      <c r="F114" s="6" t="inlineStr">
        <is>
          <t>France</t>
        </is>
      </c>
      <c r="G114" s="6" t="inlineStr">
        <is>
          <t>Activités</t>
        </is>
      </c>
      <c r="H114" s="6" t="n">
        <v>22241</v>
      </c>
      <c r="I114" s="9" t="n">
        <v>76842655</v>
      </c>
      <c r="J114" s="9" t="n">
        <v>66465706.39109206</v>
      </c>
      <c r="K114" s="9" t="n">
        <v>3975112.112911297</v>
      </c>
      <c r="L114" s="6" t="n">
        <v>85.8323852986623</v>
      </c>
      <c r="M114" s="6" t="n">
        <v>8</v>
      </c>
      <c r="N114" s="6" t="n">
        <v>0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/>
      <c r="T114" s="6" t="n"/>
    </row>
    <row r="115">
      <c r="A115" s="6" t="inlineStr">
        <is>
          <t>Atout Pierre Diversification</t>
        </is>
      </c>
      <c r="B115" s="6" t="inlineStr">
        <is>
          <t>ATO-016</t>
        </is>
      </c>
      <c r="C115" s="6" t="inlineStr">
        <is>
          <t>Immeuble Boulogne-Billancourt 16</t>
        </is>
      </c>
      <c r="D115" s="6" t="inlineStr">
        <is>
          <t>Boulogne-Billancourt</t>
        </is>
      </c>
      <c r="E115" s="6" t="inlineStr">
        <is>
          <t>Île-de-France</t>
        </is>
      </c>
      <c r="F115" s="6" t="inlineStr">
        <is>
          <t>France</t>
        </is>
      </c>
      <c r="G115" s="6" t="inlineStr">
        <is>
          <t>Bureaux</t>
        </is>
      </c>
      <c r="H115" s="6" t="n">
        <v>17584</v>
      </c>
      <c r="I115" s="9" t="n">
        <v>68718272</v>
      </c>
      <c r="J115" s="9" t="n">
        <v>66873334.98985384</v>
      </c>
      <c r="K115" s="9" t="n">
        <v>3334843.959541822</v>
      </c>
      <c r="L115" s="6" t="n">
        <v>87.42056458396975</v>
      </c>
      <c r="M115" s="6" t="n">
        <v>4</v>
      </c>
      <c r="N115" s="6" t="n">
        <v>0</v>
      </c>
      <c r="O115" s="6" t="n">
        <v>0</v>
      </c>
      <c r="P115" s="6" t="n">
        <v>0</v>
      </c>
      <c r="Q115" s="6" t="n">
        <v>0</v>
      </c>
      <c r="R115" s="6" t="n">
        <v>0</v>
      </c>
      <c r="S115" s="6" t="n"/>
      <c r="T115" s="6" t="n"/>
    </row>
    <row r="116">
      <c r="A116" s="6" t="inlineStr">
        <is>
          <t>Atout Pierre Diversification</t>
        </is>
      </c>
      <c r="B116" s="6" t="inlineStr">
        <is>
          <t>ATO-017</t>
        </is>
      </c>
      <c r="C116" s="6" t="inlineStr">
        <is>
          <t>Immeuble Lyon Part-Dieu 17</t>
        </is>
      </c>
      <c r="D116" s="6" t="inlineStr">
        <is>
          <t>Lyon Part-Dieu</t>
        </is>
      </c>
      <c r="E116" s="6" t="inlineStr">
        <is>
          <t>Auvergne-Rhône-Alpes</t>
        </is>
      </c>
      <c r="F116" s="6" t="inlineStr">
        <is>
          <t>France</t>
        </is>
      </c>
      <c r="G116" s="6" t="inlineStr">
        <is>
          <t>Santé</t>
        </is>
      </c>
      <c r="H116" s="6" t="n">
        <v>13324</v>
      </c>
      <c r="I116" s="9" t="n">
        <v>93894228</v>
      </c>
      <c r="J116" s="9" t="n">
        <v>94508005.34598321</v>
      </c>
      <c r="K116" s="9" t="n">
        <v>4630769.582594248</v>
      </c>
      <c r="L116" s="6" t="n">
        <v>95.82875738582349</v>
      </c>
      <c r="M116" s="6" t="n">
        <v>9</v>
      </c>
      <c r="N116" s="15" t="n">
        <v>3287021</v>
      </c>
      <c r="O116" s="15" t="n">
        <v>977277.5768495847</v>
      </c>
      <c r="P116" s="15" t="n">
        <v>979920.443544608</v>
      </c>
      <c r="Q116" s="15" t="n">
        <v>460717.1882393476</v>
      </c>
      <c r="R116" s="15" t="n">
        <v>399622.1882613434</v>
      </c>
      <c r="S116" s="16" t="inlineStr">
        <is>
          <t>Planifié</t>
        </is>
      </c>
      <c r="T116" s="16" t="inlineStr">
        <is>
          <t>Amélioration performance thermique</t>
        </is>
      </c>
    </row>
    <row r="117">
      <c r="A117" s="6" t="inlineStr">
        <is>
          <t>Atout Pierre Diversification</t>
        </is>
      </c>
      <c r="B117" s="6" t="inlineStr">
        <is>
          <t>ATO-018</t>
        </is>
      </c>
      <c r="C117" s="6" t="inlineStr">
        <is>
          <t>Immeuble Lyon Part-Dieu 18</t>
        </is>
      </c>
      <c r="D117" s="6" t="inlineStr">
        <is>
          <t>Lyon Part-Dieu</t>
        </is>
      </c>
      <c r="E117" s="6" t="inlineStr">
        <is>
          <t>Auvergne-Rhône-Alpes</t>
        </is>
      </c>
      <c r="F117" s="6" t="inlineStr">
        <is>
          <t>France</t>
        </is>
      </c>
      <c r="G117" s="6" t="inlineStr">
        <is>
          <t>Commerces</t>
        </is>
      </c>
      <c r="H117" s="6" t="n">
        <v>4260</v>
      </c>
      <c r="I117" s="9" t="n">
        <v>14944080</v>
      </c>
      <c r="J117" s="9" t="n">
        <v>13588774.60704595</v>
      </c>
      <c r="K117" s="9" t="n">
        <v>742422.2496046205</v>
      </c>
      <c r="L117" s="6" t="n">
        <v>94.10505153769395</v>
      </c>
      <c r="M117" s="6" t="n">
        <v>8</v>
      </c>
      <c r="N117" s="6" t="n">
        <v>0</v>
      </c>
      <c r="O117" s="6" t="n">
        <v>0</v>
      </c>
      <c r="P117" s="6" t="n">
        <v>0</v>
      </c>
      <c r="Q117" s="6" t="n">
        <v>0</v>
      </c>
      <c r="R117" s="6" t="n">
        <v>0</v>
      </c>
      <c r="S117" s="6" t="n"/>
      <c r="T117" s="6" t="n"/>
    </row>
    <row r="118">
      <c r="A118" s="6" t="inlineStr">
        <is>
          <t>Atout Pierre Diversification</t>
        </is>
      </c>
      <c r="B118" s="6" t="inlineStr">
        <is>
          <t>ATO-019</t>
        </is>
      </c>
      <c r="C118" s="6" t="inlineStr">
        <is>
          <t>Immeuble Paris 16ème 19</t>
        </is>
      </c>
      <c r="D118" s="6" t="inlineStr">
        <is>
          <t>Paris 16ème</t>
        </is>
      </c>
      <c r="E118" s="6" t="inlineStr">
        <is>
          <t>Paris</t>
        </is>
      </c>
      <c r="F118" s="6" t="inlineStr">
        <is>
          <t>France</t>
        </is>
      </c>
      <c r="G118" s="6" t="inlineStr">
        <is>
          <t>Activités</t>
        </is>
      </c>
      <c r="H118" s="6" t="n">
        <v>14775</v>
      </c>
      <c r="I118" s="9" t="n">
        <v>91870950</v>
      </c>
      <c r="J118" s="9" t="n">
        <v>94823168.61076483</v>
      </c>
      <c r="K118" s="9" t="n">
        <v>5957557.802665397</v>
      </c>
      <c r="L118" s="6" t="n">
        <v>86.27954902471095</v>
      </c>
      <c r="M118" s="6" t="n">
        <v>6</v>
      </c>
      <c r="N118" s="6" t="n">
        <v>0</v>
      </c>
      <c r="O118" s="6" t="n">
        <v>0</v>
      </c>
      <c r="P118" s="6" t="n">
        <v>0</v>
      </c>
      <c r="Q118" s="6" t="n">
        <v>0</v>
      </c>
      <c r="R118" s="6" t="n">
        <v>0</v>
      </c>
      <c r="S118" s="6" t="n"/>
      <c r="T118" s="6" t="n"/>
    </row>
    <row r="119">
      <c r="A119" s="6" t="inlineStr">
        <is>
          <t>Atout Pierre Diversification</t>
        </is>
      </c>
      <c r="B119" s="6" t="inlineStr">
        <is>
          <t>ATO-020</t>
        </is>
      </c>
      <c r="C119" s="6" t="inlineStr">
        <is>
          <t>Immeuble Rennes 20</t>
        </is>
      </c>
      <c r="D119" s="6" t="inlineStr">
        <is>
          <t>Rennes</t>
        </is>
      </c>
      <c r="E119" s="6" t="inlineStr">
        <is>
          <t>Bretagne</t>
        </is>
      </c>
      <c r="F119" s="6" t="inlineStr">
        <is>
          <t>France</t>
        </is>
      </c>
      <c r="G119" s="6" t="inlineStr">
        <is>
          <t>Bureaux</t>
        </is>
      </c>
      <c r="H119" s="6" t="n">
        <v>2766</v>
      </c>
      <c r="I119" s="9" t="n">
        <v>18880716</v>
      </c>
      <c r="J119" s="9" t="n">
        <v>18763610.64619494</v>
      </c>
      <c r="K119" s="9" t="n">
        <v>1099569.983469252</v>
      </c>
      <c r="L119" s="6" t="n">
        <v>94.4918486618717</v>
      </c>
      <c r="M119" s="6" t="n">
        <v>3</v>
      </c>
      <c r="N119" s="6" t="n">
        <v>0</v>
      </c>
      <c r="O119" s="6" t="n">
        <v>0</v>
      </c>
      <c r="P119" s="6" t="n">
        <v>0</v>
      </c>
      <c r="Q119" s="6" t="n">
        <v>0</v>
      </c>
      <c r="R119" s="6" t="n">
        <v>0</v>
      </c>
      <c r="S119" s="6" t="n"/>
      <c r="T119" s="6" t="n"/>
    </row>
    <row r="120">
      <c r="A120" s="6" t="inlineStr">
        <is>
          <t>Atout Pierre Diversification</t>
        </is>
      </c>
      <c r="B120" s="6" t="inlineStr">
        <is>
          <t>ATO-021</t>
        </is>
      </c>
      <c r="C120" s="6" t="inlineStr">
        <is>
          <t>Immeuble Strasbourg 21</t>
        </is>
      </c>
      <c r="D120" s="6" t="inlineStr">
        <is>
          <t>Strasbourg</t>
        </is>
      </c>
      <c r="E120" s="6" t="inlineStr">
        <is>
          <t>Grand Est</t>
        </is>
      </c>
      <c r="F120" s="6" t="inlineStr">
        <is>
          <t>France</t>
        </is>
      </c>
      <c r="G120" s="6" t="inlineStr">
        <is>
          <t>Bureaux</t>
        </is>
      </c>
      <c r="H120" s="6" t="n">
        <v>4189</v>
      </c>
      <c r="I120" s="9" t="n">
        <v>24493083</v>
      </c>
      <c r="J120" s="9" t="n">
        <v>22207377.88416659</v>
      </c>
      <c r="K120" s="9" t="n">
        <v>1569870.525457358</v>
      </c>
      <c r="L120" s="6" t="n">
        <v>85.76074529758915</v>
      </c>
      <c r="M120" s="6" t="n">
        <v>8</v>
      </c>
      <c r="N120" s="15" t="n">
        <v>1366458</v>
      </c>
      <c r="O120" s="15" t="n">
        <v>624648.6494984948</v>
      </c>
      <c r="P120" s="15" t="n">
        <v>404129.4395666763</v>
      </c>
      <c r="Q120" s="15" t="n">
        <v>250929.607501308</v>
      </c>
      <c r="R120" s="15" t="n">
        <v>149455.9309574535</v>
      </c>
      <c r="S120" s="16" t="inlineStr">
        <is>
          <t>En cours</t>
        </is>
      </c>
      <c r="T120" s="16" t="inlineStr">
        <is>
          <t>Réfection toiture et étanchéité</t>
        </is>
      </c>
    </row>
    <row r="121">
      <c r="A121" s="6" t="inlineStr">
        <is>
          <t>Atout Pierre Diversification</t>
        </is>
      </c>
      <c r="B121" s="6" t="inlineStr">
        <is>
          <t>ATO-022</t>
        </is>
      </c>
      <c r="C121" s="6" t="inlineStr">
        <is>
          <t>Immeuble Paris 17ème 22</t>
        </is>
      </c>
      <c r="D121" s="6" t="inlineStr">
        <is>
          <t>Paris 17ème</t>
        </is>
      </c>
      <c r="E121" s="6" t="inlineStr">
        <is>
          <t>Paris</t>
        </is>
      </c>
      <c r="F121" s="6" t="inlineStr">
        <is>
          <t>France</t>
        </is>
      </c>
      <c r="G121" s="6" t="inlineStr">
        <is>
          <t>Santé</t>
        </is>
      </c>
      <c r="H121" s="6" t="n">
        <v>21674</v>
      </c>
      <c r="I121" s="9" t="n">
        <v>73084728</v>
      </c>
      <c r="J121" s="9" t="n">
        <v>68707761.13982208</v>
      </c>
      <c r="K121" s="9" t="n">
        <v>4483542.432185006</v>
      </c>
      <c r="L121" s="6" t="n">
        <v>96.79155922365986</v>
      </c>
      <c r="M121" s="6" t="n">
        <v>3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/>
      <c r="T121" s="6" t="n"/>
    </row>
    <row r="122">
      <c r="A122" s="6" t="inlineStr">
        <is>
          <t>Atout Pierre Diversification</t>
        </is>
      </c>
      <c r="B122" s="6" t="inlineStr">
        <is>
          <t>ATO-023</t>
        </is>
      </c>
      <c r="C122" s="6" t="inlineStr">
        <is>
          <t>Immeuble Bordeaux Euratlantique 23</t>
        </is>
      </c>
      <c r="D122" s="6" t="inlineStr">
        <is>
          <t>Bordeaux Euratlantique</t>
        </is>
      </c>
      <c r="E122" s="6" t="inlineStr">
        <is>
          <t>Nouvelle-Aquitaine</t>
        </is>
      </c>
      <c r="F122" s="6" t="inlineStr">
        <is>
          <t>France</t>
        </is>
      </c>
      <c r="G122" s="6" t="inlineStr">
        <is>
          <t>Activités</t>
        </is>
      </c>
      <c r="H122" s="6" t="n">
        <v>15617</v>
      </c>
      <c r="I122" s="9" t="n">
        <v>53363289</v>
      </c>
      <c r="J122" s="9" t="n">
        <v>48279046.58259789</v>
      </c>
      <c r="K122" s="9" t="n">
        <v>2538184.497812587</v>
      </c>
      <c r="L122" s="6" t="n">
        <v>90.36643830920269</v>
      </c>
      <c r="M122" s="6" t="n">
        <v>1</v>
      </c>
      <c r="N122" s="6" t="n">
        <v>0</v>
      </c>
      <c r="O122" s="6" t="n">
        <v>0</v>
      </c>
      <c r="P122" s="6" t="n">
        <v>0</v>
      </c>
      <c r="Q122" s="6" t="n">
        <v>0</v>
      </c>
      <c r="R122" s="6" t="n">
        <v>0</v>
      </c>
      <c r="S122" s="6" t="n"/>
      <c r="T122" s="6" t="n"/>
    </row>
    <row r="123">
      <c r="A123" s="6" t="inlineStr">
        <is>
          <t>Atout Pierre Diversification</t>
        </is>
      </c>
      <c r="B123" s="6" t="inlineStr">
        <is>
          <t>ATO-024</t>
        </is>
      </c>
      <c r="C123" s="6" t="inlineStr">
        <is>
          <t>Immeuble Bordeaux Lac 24</t>
        </is>
      </c>
      <c r="D123" s="6" t="inlineStr">
        <is>
          <t>Bordeaux Lac</t>
        </is>
      </c>
      <c r="E123" s="6" t="inlineStr">
        <is>
          <t>Nouvelle-Aquitaine</t>
        </is>
      </c>
      <c r="F123" s="6" t="inlineStr">
        <is>
          <t>France</t>
        </is>
      </c>
      <c r="G123" s="6" t="inlineStr">
        <is>
          <t>Commerces</t>
        </is>
      </c>
      <c r="H123" s="6" t="n">
        <v>10966</v>
      </c>
      <c r="I123" s="9" t="n">
        <v>52209126</v>
      </c>
      <c r="J123" s="9" t="n">
        <v>45285316.27197618</v>
      </c>
      <c r="K123" s="9" t="n">
        <v>3393301.518359599</v>
      </c>
      <c r="L123" s="6" t="n">
        <v>98.21288572605249</v>
      </c>
      <c r="M123" s="6" t="n">
        <v>14</v>
      </c>
      <c r="N123" s="15" t="n">
        <v>1706829</v>
      </c>
      <c r="O123" s="15" t="n">
        <v>770975.3168667323</v>
      </c>
      <c r="P123" s="15" t="n">
        <v>445333.582044619</v>
      </c>
      <c r="Q123" s="15" t="n">
        <v>337509.8960791095</v>
      </c>
      <c r="R123" s="15" t="n">
        <v>121933.7864931765</v>
      </c>
      <c r="S123" s="16" t="inlineStr">
        <is>
          <t>Réalisé</t>
        </is>
      </c>
      <c r="T123" s="16" t="inlineStr">
        <is>
          <t>Amélioration performance thermique</t>
        </is>
      </c>
    </row>
    <row r="124">
      <c r="A124" s="6" t="inlineStr">
        <is>
          <t>Atout Pierre Diversification</t>
        </is>
      </c>
      <c r="B124" s="6" t="inlineStr">
        <is>
          <t>ATO-025</t>
        </is>
      </c>
      <c r="C124" s="6" t="inlineStr">
        <is>
          <t>Immeuble Paris 16ème 25</t>
        </is>
      </c>
      <c r="D124" s="6" t="inlineStr">
        <is>
          <t>Paris 16ème</t>
        </is>
      </c>
      <c r="E124" s="6" t="inlineStr">
        <is>
          <t>Paris</t>
        </is>
      </c>
      <c r="F124" s="6" t="inlineStr">
        <is>
          <t>France</t>
        </is>
      </c>
      <c r="G124" s="6" t="inlineStr">
        <is>
          <t>Commerces</t>
        </is>
      </c>
      <c r="H124" s="6" t="n">
        <v>18000</v>
      </c>
      <c r="I124" s="9" t="n">
        <v>117396000</v>
      </c>
      <c r="J124" s="9" t="n">
        <v>113181995.5622989</v>
      </c>
      <c r="K124" s="9" t="n">
        <v>7583887.127019567</v>
      </c>
      <c r="L124" s="6" t="n">
        <v>87.10109929553616</v>
      </c>
      <c r="M124" s="6" t="n">
        <v>12</v>
      </c>
      <c r="N124" s="6" t="n">
        <v>0</v>
      </c>
      <c r="O124" s="6" t="n">
        <v>0</v>
      </c>
      <c r="P124" s="6" t="n">
        <v>0</v>
      </c>
      <c r="Q124" s="6" t="n">
        <v>0</v>
      </c>
      <c r="R124" s="6" t="n">
        <v>0</v>
      </c>
      <c r="S124" s="6" t="n"/>
      <c r="T124" s="6" t="n"/>
    </row>
    <row r="125">
      <c r="A125" s="6" t="inlineStr">
        <is>
          <t>Atout Pierre Diversification</t>
        </is>
      </c>
      <c r="B125" s="6" t="inlineStr">
        <is>
          <t>ATO-026</t>
        </is>
      </c>
      <c r="C125" s="6" t="inlineStr">
        <is>
          <t>Immeuble Nice 26</t>
        </is>
      </c>
      <c r="D125" s="6" t="inlineStr">
        <is>
          <t>Nice</t>
        </is>
      </c>
      <c r="E125" s="6" t="inlineStr">
        <is>
          <t>Provence-Alpes-Côte d'Azur</t>
        </is>
      </c>
      <c r="F125" s="6" t="inlineStr">
        <is>
          <t>France</t>
        </is>
      </c>
      <c r="G125" s="6" t="inlineStr">
        <is>
          <t>Commerces</t>
        </is>
      </c>
      <c r="H125" s="6" t="n">
        <v>6664</v>
      </c>
      <c r="I125" s="9" t="n">
        <v>35705712</v>
      </c>
      <c r="J125" s="9" t="n">
        <v>37280770.22839714</v>
      </c>
      <c r="K125" s="9" t="n">
        <v>1645185.403048001</v>
      </c>
      <c r="L125" s="6" t="n">
        <v>94.55802259959798</v>
      </c>
      <c r="M125" s="6" t="n">
        <v>3</v>
      </c>
      <c r="N125" s="15" t="n">
        <v>2450244</v>
      </c>
      <c r="O125" s="15" t="n">
        <v>1086472.386846069</v>
      </c>
      <c r="P125" s="15" t="n">
        <v>391854.5014293537</v>
      </c>
      <c r="Q125" s="15" t="n">
        <v>274686.8968387416</v>
      </c>
      <c r="R125" s="15" t="n">
        <v>267116.0069139649</v>
      </c>
      <c r="S125" s="16" t="inlineStr">
        <is>
          <t>En cours</t>
        </is>
      </c>
      <c r="T125" s="16" t="inlineStr">
        <is>
          <t>Réfection toiture et étanchéité</t>
        </is>
      </c>
    </row>
    <row r="126">
      <c r="A126" s="6" t="inlineStr">
        <is>
          <t>Atout Pierre Diversification</t>
        </is>
      </c>
      <c r="B126" s="6" t="inlineStr">
        <is>
          <t>ATO-027</t>
        </is>
      </c>
      <c r="C126" s="6" t="inlineStr">
        <is>
          <t>Immeuble Levallois-Perret 27</t>
        </is>
      </c>
      <c r="D126" s="6" t="inlineStr">
        <is>
          <t>Levallois-Perret</t>
        </is>
      </c>
      <c r="E126" s="6" t="inlineStr">
        <is>
          <t>Île-de-France</t>
        </is>
      </c>
      <c r="F126" s="6" t="inlineStr">
        <is>
          <t>France</t>
        </is>
      </c>
      <c r="G126" s="6" t="inlineStr">
        <is>
          <t>Commerces</t>
        </is>
      </c>
      <c r="H126" s="6" t="n">
        <v>20533</v>
      </c>
      <c r="I126" s="9" t="n">
        <v>116771171</v>
      </c>
      <c r="J126" s="9" t="n">
        <v>114427961.1654509</v>
      </c>
      <c r="K126" s="9" t="n">
        <v>5717583.208129978</v>
      </c>
      <c r="L126" s="6" t="n">
        <v>94.56697715529788</v>
      </c>
      <c r="M126" s="6" t="n">
        <v>8</v>
      </c>
      <c r="N126" s="15" t="n">
        <v>354255</v>
      </c>
      <c r="O126" s="15" t="n">
        <v>153028.3775428917</v>
      </c>
      <c r="P126" s="15" t="n">
        <v>53993.09326553766</v>
      </c>
      <c r="Q126" s="15" t="n">
        <v>61843.76243641845</v>
      </c>
      <c r="R126" s="15" t="n">
        <v>52000.97320854389</v>
      </c>
      <c r="S126" s="16" t="inlineStr">
        <is>
          <t>Réalisé</t>
        </is>
      </c>
      <c r="T126" s="16" t="inlineStr">
        <is>
          <t>Remplacement système CVC</t>
        </is>
      </c>
    </row>
    <row r="127">
      <c r="A127" s="6" t="inlineStr">
        <is>
          <t>Atout Pierre Diversification</t>
        </is>
      </c>
      <c r="B127" s="6" t="inlineStr">
        <is>
          <t>ATO-028</t>
        </is>
      </c>
      <c r="C127" s="6" t="inlineStr">
        <is>
          <t>Immeuble Toulouse Labège 28</t>
        </is>
      </c>
      <c r="D127" s="6" t="inlineStr">
        <is>
          <t>Toulouse Labège</t>
        </is>
      </c>
      <c r="E127" s="6" t="inlineStr">
        <is>
          <t>Occitanie</t>
        </is>
      </c>
      <c r="F127" s="6" t="inlineStr">
        <is>
          <t>France</t>
        </is>
      </c>
      <c r="G127" s="6" t="inlineStr">
        <is>
          <t>Bureaux</t>
        </is>
      </c>
      <c r="H127" s="6" t="n">
        <v>5806</v>
      </c>
      <c r="I127" s="9" t="n">
        <v>30098304</v>
      </c>
      <c r="J127" s="9" t="n">
        <v>30836632.62639366</v>
      </c>
      <c r="K127" s="9" t="n">
        <v>1432026.856806084</v>
      </c>
      <c r="L127" s="6" t="n">
        <v>96.24229860440178</v>
      </c>
      <c r="M127" s="6" t="n">
        <v>5</v>
      </c>
      <c r="N127" s="6" t="n">
        <v>0</v>
      </c>
      <c r="O127" s="6" t="n">
        <v>0</v>
      </c>
      <c r="P127" s="6" t="n">
        <v>0</v>
      </c>
      <c r="Q127" s="6" t="n">
        <v>0</v>
      </c>
      <c r="R127" s="6" t="n">
        <v>0</v>
      </c>
      <c r="S127" s="6" t="n"/>
      <c r="T127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6" customWidth="1" min="3" max="3"/>
    <col width="14" customWidth="1" min="4" max="4"/>
    <col width="14" customWidth="1" min="5" max="5"/>
    <col width="12" customWidth="1" min="6" max="6"/>
    <col width="20" customWidth="1" min="7" max="7"/>
    <col width="20" customWidth="1" min="8" max="8"/>
    <col width="11" customWidth="1" min="9" max="9"/>
    <col width="20" customWidth="1" min="10" max="10"/>
    <col width="20" customWidth="1" min="11" max="11"/>
    <col width="13" customWidth="1" min="12" max="12"/>
    <col width="20" customWidth="1" min="13" max="13"/>
  </cols>
  <sheetData>
    <row r="1">
      <c r="A1" s="5" t="inlineStr">
        <is>
          <t>SCPI</t>
        </is>
      </c>
      <c r="B1" s="5" t="inlineStr">
        <is>
          <t>Nom SCI</t>
        </is>
      </c>
      <c r="C1" s="5" t="inlineStr">
        <is>
          <t>Type Structure</t>
        </is>
      </c>
      <c r="D1" s="5" t="inlineStr">
        <is>
          <t>Quote-part %</t>
        </is>
      </c>
      <c r="E1" s="5" t="inlineStr">
        <is>
          <t>Nb Immeubles</t>
        </is>
      </c>
      <c r="F1" s="5" t="inlineStr">
        <is>
          <t>Surface m²</t>
        </is>
      </c>
      <c r="G1" s="5" t="inlineStr">
        <is>
          <t>Valeur Vénale HD €</t>
        </is>
      </c>
      <c r="H1" s="5" t="inlineStr">
        <is>
          <t>Prix Acquisition €</t>
        </is>
      </c>
      <c r="I1" s="14" t="inlineStr">
        <is>
          <t>TRAVAUX €</t>
        </is>
      </c>
      <c r="J1" s="5" t="inlineStr">
        <is>
          <t>VNC €</t>
        </is>
      </c>
      <c r="K1" s="5" t="inlineStr">
        <is>
          <t>Valeur Estimée €</t>
        </is>
      </c>
      <c r="L1" s="5" t="inlineStr">
        <is>
          <t>Écart Acq €</t>
        </is>
      </c>
      <c r="M1" s="5" t="inlineStr">
        <is>
          <t>Dettes €</t>
        </is>
      </c>
    </row>
    <row r="2">
      <c r="A2" s="6" t="inlineStr">
        <is>
          <t>Rivoli Avenir Patrimoine</t>
        </is>
      </c>
      <c r="B2" s="6" t="inlineStr">
        <is>
          <t>SCI RIV Toulouse Blagnac 1</t>
        </is>
      </c>
      <c r="C2" s="6" t="inlineStr">
        <is>
          <t>SCI</t>
        </is>
      </c>
      <c r="D2" s="6" t="n">
        <v>90</v>
      </c>
      <c r="E2" s="6" t="n">
        <v>1</v>
      </c>
      <c r="F2" s="9" t="n">
        <v>27783</v>
      </c>
      <c r="G2" s="9" t="n">
        <v>180450585</v>
      </c>
      <c r="H2" s="9" t="n">
        <v>157405708.8034361</v>
      </c>
      <c r="I2" s="6" t="n">
        <v>0</v>
      </c>
      <c r="J2" s="9" t="n">
        <v>166290956.224723</v>
      </c>
      <c r="K2" s="9" t="n">
        <v>175986149.8582349</v>
      </c>
      <c r="L2" s="6" t="n"/>
      <c r="M2" s="9" t="n">
        <v>52175513.13827132</v>
      </c>
    </row>
    <row r="3">
      <c r="A3" s="6" t="inlineStr">
        <is>
          <t>Rivoli Avenir Patrimoine</t>
        </is>
      </c>
      <c r="B3" s="6" t="inlineStr">
        <is>
          <t>SCI RIV Rennes 2</t>
        </is>
      </c>
      <c r="C3" s="6" t="inlineStr">
        <is>
          <t>SCI</t>
        </is>
      </c>
      <c r="D3" s="6" t="n">
        <v>100</v>
      </c>
      <c r="E3" s="6" t="n">
        <v>5</v>
      </c>
      <c r="F3" s="9" t="n">
        <v>13417</v>
      </c>
      <c r="G3" s="9" t="n">
        <v>70935679</v>
      </c>
      <c r="H3" s="9" t="n">
        <v>69348018.09572591</v>
      </c>
      <c r="I3" s="6" t="n">
        <v>0</v>
      </c>
      <c r="J3" s="9" t="n">
        <v>62695423.54347878</v>
      </c>
      <c r="K3" s="9" t="n">
        <v>67842895.22853787</v>
      </c>
      <c r="L3" s="6" t="n"/>
      <c r="M3" s="9" t="n">
        <v>15788783.67812145</v>
      </c>
    </row>
    <row r="4">
      <c r="A4" s="6" t="inlineStr">
        <is>
          <t>Rivoli Avenir Patrimoine</t>
        </is>
      </c>
      <c r="B4" s="6" t="inlineStr">
        <is>
          <t>SCI RIV La Défense 3</t>
        </is>
      </c>
      <c r="C4" s="6" t="inlineStr">
        <is>
          <t>SCI</t>
        </is>
      </c>
      <c r="D4" s="6" t="n">
        <v>100</v>
      </c>
      <c r="E4" s="6" t="n">
        <v>5</v>
      </c>
      <c r="F4" s="9" t="n">
        <v>16411</v>
      </c>
      <c r="G4" s="9" t="n">
        <v>65561945</v>
      </c>
      <c r="H4" s="9" t="n">
        <v>57238629.99530637</v>
      </c>
      <c r="I4" s="17" t="n">
        <v>3258155</v>
      </c>
      <c r="J4" s="9" t="n">
        <v>60205036.99976914</v>
      </c>
      <c r="K4" s="9" t="n">
        <v>64422306.81339829</v>
      </c>
      <c r="L4" s="6" t="n"/>
      <c r="M4" s="9" t="n">
        <v>9945062.79911235</v>
      </c>
    </row>
    <row r="5">
      <c r="A5" s="6" t="inlineStr">
        <is>
          <t>Rivoli Avenir Patrimoine</t>
        </is>
      </c>
      <c r="B5" s="6" t="inlineStr">
        <is>
          <t>SCI RIV Rennes 4</t>
        </is>
      </c>
      <c r="C5" s="6" t="inlineStr">
        <is>
          <t>SCI</t>
        </is>
      </c>
      <c r="D5" s="6" t="n">
        <v>100</v>
      </c>
      <c r="E5" s="6" t="n">
        <v>2</v>
      </c>
      <c r="F5" s="9" t="n">
        <v>8771</v>
      </c>
      <c r="G5" s="9" t="n">
        <v>64045842</v>
      </c>
      <c r="H5" s="9" t="n">
        <v>57722961.96457763</v>
      </c>
      <c r="I5" s="6" t="n">
        <v>0</v>
      </c>
      <c r="J5" s="9" t="n">
        <v>64987827.1555155</v>
      </c>
      <c r="K5" s="9" t="n">
        <v>68289720.13779193</v>
      </c>
      <c r="L5" s="6" t="n"/>
      <c r="M5" s="9" t="n">
        <v>7696027.152344919</v>
      </c>
    </row>
    <row r="6">
      <c r="A6" s="6" t="inlineStr">
        <is>
          <t>Aestiam Placement Pierre</t>
        </is>
      </c>
      <c r="B6" s="6" t="inlineStr">
        <is>
          <t>SCI AES Rennes 1</t>
        </is>
      </c>
      <c r="C6" s="6" t="inlineStr">
        <is>
          <t>SCI</t>
        </is>
      </c>
      <c r="D6" s="6" t="n">
        <v>80</v>
      </c>
      <c r="E6" s="6" t="n">
        <v>3</v>
      </c>
      <c r="F6" s="9" t="n">
        <v>13656</v>
      </c>
      <c r="G6" s="9" t="n">
        <v>56931864</v>
      </c>
      <c r="H6" s="9" t="n">
        <v>48196928.84428211</v>
      </c>
      <c r="I6" s="17" t="n">
        <v>1866316</v>
      </c>
      <c r="J6" s="9" t="n">
        <v>53773810.29243675</v>
      </c>
      <c r="K6" s="9" t="n">
        <v>57674828.91227226</v>
      </c>
      <c r="L6" s="6" t="n"/>
      <c r="M6" s="9" t="n">
        <v>13136651.94691958</v>
      </c>
    </row>
    <row r="7">
      <c r="A7" s="6" t="inlineStr">
        <is>
          <t>Aestiam Placement Pierre</t>
        </is>
      </c>
      <c r="B7" s="6" t="inlineStr">
        <is>
          <t>SCI AES Toulouse Labège 2</t>
        </is>
      </c>
      <c r="C7" s="6" t="inlineStr">
        <is>
          <t>SCI</t>
        </is>
      </c>
      <c r="D7" s="6" t="n">
        <v>75</v>
      </c>
      <c r="E7" s="6" t="n">
        <v>1</v>
      </c>
      <c r="F7" s="9" t="n">
        <v>18732</v>
      </c>
      <c r="G7" s="9" t="n">
        <v>128576448</v>
      </c>
      <c r="H7" s="9" t="n">
        <v>118918647.4408161</v>
      </c>
      <c r="I7" s="17" t="n">
        <v>4466503</v>
      </c>
      <c r="J7" s="9" t="n">
        <v>120838176.7628891</v>
      </c>
      <c r="K7" s="9" t="n">
        <v>128867675.6412874</v>
      </c>
      <c r="L7" s="6" t="n"/>
      <c r="M7" s="9" t="n">
        <v>14157394.90366627</v>
      </c>
    </row>
    <row r="8">
      <c r="A8" s="6" t="inlineStr">
        <is>
          <t>Aestiam Placement Pierre</t>
        </is>
      </c>
      <c r="B8" s="6" t="inlineStr">
        <is>
          <t>SCI AES Lille Euralille 3</t>
        </is>
      </c>
      <c r="C8" s="6" t="inlineStr">
        <is>
          <t>SCI</t>
        </is>
      </c>
      <c r="D8" s="6" t="n">
        <v>100</v>
      </c>
      <c r="E8" s="6" t="n">
        <v>3</v>
      </c>
      <c r="F8" s="9" t="n">
        <v>12569</v>
      </c>
      <c r="G8" s="9" t="n">
        <v>81044912</v>
      </c>
      <c r="H8" s="9" t="n">
        <v>72226661.16574648</v>
      </c>
      <c r="I8" s="17" t="n">
        <v>6575634</v>
      </c>
      <c r="J8" s="9" t="n">
        <v>77268770.98008546</v>
      </c>
      <c r="K8" s="9" t="n">
        <v>83522822.72891885</v>
      </c>
      <c r="L8" s="6" t="n"/>
      <c r="M8" s="9" t="n">
        <v>20935694.63008195</v>
      </c>
    </row>
    <row r="9">
      <c r="A9" s="6" t="inlineStr">
        <is>
          <t>Aestiam Placement Pierre</t>
        </is>
      </c>
      <c r="B9" s="6" t="inlineStr">
        <is>
          <t>SCI AES Paris 17ème 4</t>
        </is>
      </c>
      <c r="C9" s="6" t="inlineStr">
        <is>
          <t>SCI</t>
        </is>
      </c>
      <c r="D9" s="6" t="n">
        <v>90</v>
      </c>
      <c r="E9" s="6" t="n">
        <v>4</v>
      </c>
      <c r="F9" s="9" t="n">
        <v>15994</v>
      </c>
      <c r="G9" s="9" t="n">
        <v>64999616</v>
      </c>
      <c r="H9" s="9" t="n">
        <v>63022045.63725996</v>
      </c>
      <c r="I9" s="6" t="n">
        <v>0</v>
      </c>
      <c r="J9" s="9" t="n">
        <v>60213601.53458618</v>
      </c>
      <c r="K9" s="9" t="n">
        <v>64477235.62235916</v>
      </c>
      <c r="L9" s="6" t="n"/>
      <c r="M9" s="9" t="n">
        <v>16995384.74329897</v>
      </c>
    </row>
    <row r="10">
      <c r="A10" s="6" t="inlineStr">
        <is>
          <t>Aestiam Placement Pierre</t>
        </is>
      </c>
      <c r="B10" s="6" t="inlineStr">
        <is>
          <t>SCI AES La Défense 5</t>
        </is>
      </c>
      <c r="C10" s="6" t="inlineStr">
        <is>
          <t>SCI</t>
        </is>
      </c>
      <c r="D10" s="6" t="n">
        <v>90</v>
      </c>
      <c r="E10" s="6" t="n">
        <v>3</v>
      </c>
      <c r="F10" s="9" t="n">
        <v>14776</v>
      </c>
      <c r="G10" s="9" t="n">
        <v>109593592</v>
      </c>
      <c r="H10" s="9" t="n">
        <v>95253401.89068539</v>
      </c>
      <c r="I10" s="17" t="n">
        <v>3321307</v>
      </c>
      <c r="J10" s="9" t="n">
        <v>98452725.55254626</v>
      </c>
      <c r="K10" s="9" t="n">
        <v>117998355.5459832</v>
      </c>
      <c r="L10" s="6" t="n"/>
      <c r="M10" s="9" t="n">
        <v>13041865.50415505</v>
      </c>
    </row>
    <row r="11">
      <c r="A11" s="6" t="inlineStr">
        <is>
          <t>LF Croissance &amp; Territoires</t>
        </is>
      </c>
      <c r="B11" s="6" t="inlineStr">
        <is>
          <t>SCI LF  Lyon Part-Dieu 1</t>
        </is>
      </c>
      <c r="C11" s="6" t="inlineStr">
        <is>
          <t>SCI</t>
        </is>
      </c>
      <c r="D11" s="6" t="n">
        <v>80</v>
      </c>
      <c r="E11" s="6" t="n">
        <v>1</v>
      </c>
      <c r="F11" s="9" t="n">
        <v>25604</v>
      </c>
      <c r="G11" s="9" t="n">
        <v>108688980</v>
      </c>
      <c r="H11" s="9" t="n">
        <v>99457836.33160579</v>
      </c>
      <c r="I11" s="17" t="n">
        <v>6453732</v>
      </c>
      <c r="J11" s="9" t="n">
        <v>103966117.2034307</v>
      </c>
      <c r="K11" s="9" t="n">
        <v>112601921.075887</v>
      </c>
      <c r="L11" s="6" t="n"/>
      <c r="M11" s="9" t="n">
        <v>35294728.87967437</v>
      </c>
    </row>
    <row r="12">
      <c r="A12" s="6" t="inlineStr">
        <is>
          <t>LF Croissance &amp; Territoires</t>
        </is>
      </c>
      <c r="B12" s="6" t="inlineStr">
        <is>
          <t>SCI LF  Bordeaux Lac 2</t>
        </is>
      </c>
      <c r="C12" s="6" t="inlineStr">
        <is>
          <t>SCI</t>
        </is>
      </c>
      <c r="D12" s="6" t="n">
        <v>100</v>
      </c>
      <c r="E12" s="6" t="n">
        <v>5</v>
      </c>
      <c r="F12" s="9" t="n">
        <v>18956</v>
      </c>
      <c r="G12" s="9" t="n">
        <v>92884400</v>
      </c>
      <c r="H12" s="9" t="n">
        <v>84440888.99926986</v>
      </c>
      <c r="I12" s="6" t="n">
        <v>0</v>
      </c>
      <c r="J12" s="9" t="n">
        <v>87690463.91167115</v>
      </c>
      <c r="K12" s="9" t="n">
        <v>97951117.74994095</v>
      </c>
      <c r="L12" s="6" t="n"/>
      <c r="M12" s="9" t="n">
        <v>16785310.26258716</v>
      </c>
    </row>
    <row r="13">
      <c r="A13" s="6" t="inlineStr">
        <is>
          <t>LF Croissance &amp; Territoires</t>
        </is>
      </c>
      <c r="B13" s="6" t="inlineStr">
        <is>
          <t>SCI LF  Issy-les-Moulineaux 3</t>
        </is>
      </c>
      <c r="C13" s="6" t="inlineStr">
        <is>
          <t>SCI</t>
        </is>
      </c>
      <c r="D13" s="6" t="n">
        <v>80</v>
      </c>
      <c r="E13" s="6" t="n">
        <v>5</v>
      </c>
      <c r="F13" s="9" t="n">
        <v>29108</v>
      </c>
      <c r="G13" s="9" t="n">
        <v>189580404</v>
      </c>
      <c r="H13" s="9" t="n">
        <v>183107521.8594036</v>
      </c>
      <c r="I13" s="17" t="n">
        <v>5772057</v>
      </c>
      <c r="J13" s="9" t="n">
        <v>189200352.3606899</v>
      </c>
      <c r="K13" s="9" t="n">
        <v>181634030.0795557</v>
      </c>
      <c r="L13" s="6" t="n"/>
      <c r="M13" s="9" t="n">
        <v>49066420.07258539</v>
      </c>
    </row>
    <row r="14">
      <c r="A14" s="6" t="inlineStr">
        <is>
          <t>LF Croissance &amp; Territoires</t>
        </is>
      </c>
      <c r="B14" s="6" t="inlineStr">
        <is>
          <t>SCI LF  Toulouse Labège 4</t>
        </is>
      </c>
      <c r="C14" s="6" t="inlineStr">
        <is>
          <t>SCI</t>
        </is>
      </c>
      <c r="D14" s="6" t="n">
        <v>80</v>
      </c>
      <c r="E14" s="6" t="n">
        <v>2</v>
      </c>
      <c r="F14" s="9" t="n">
        <v>29640</v>
      </c>
      <c r="G14" s="9" t="n">
        <v>143457600</v>
      </c>
      <c r="H14" s="9" t="n">
        <v>126935718.5669609</v>
      </c>
      <c r="I14" s="6" t="n">
        <v>0</v>
      </c>
      <c r="J14" s="9" t="n">
        <v>130990548.3405354</v>
      </c>
      <c r="K14" s="9" t="n">
        <v>139357820.5005333</v>
      </c>
      <c r="L14" s="6" t="n"/>
      <c r="M14" s="9" t="n">
        <v>18676066.36485302</v>
      </c>
    </row>
    <row r="15">
      <c r="A15" s="6" t="inlineStr">
        <is>
          <t>LF Croissance &amp; Territoires</t>
        </is>
      </c>
      <c r="B15" s="6" t="inlineStr">
        <is>
          <t>SCI LF  Saint-Denis 5</t>
        </is>
      </c>
      <c r="C15" s="6" t="inlineStr">
        <is>
          <t>SCI</t>
        </is>
      </c>
      <c r="D15" s="6" t="n">
        <v>100</v>
      </c>
      <c r="E15" s="6" t="n">
        <v>2</v>
      </c>
      <c r="F15" s="9" t="n">
        <v>8260</v>
      </c>
      <c r="G15" s="9" t="n">
        <v>47726280</v>
      </c>
      <c r="H15" s="9" t="n">
        <v>43528364.545675</v>
      </c>
      <c r="I15" s="17" t="n">
        <v>2711371</v>
      </c>
      <c r="J15" s="9" t="n">
        <v>42361879.9517035</v>
      </c>
      <c r="K15" s="9" t="n">
        <v>47602821.73994064</v>
      </c>
      <c r="L15" s="6" t="n"/>
      <c r="M15" s="9" t="n">
        <v>5473886.505726516</v>
      </c>
    </row>
    <row r="16">
      <c r="A16" s="6" t="inlineStr">
        <is>
          <t>LF Croissance &amp; Territoires</t>
        </is>
      </c>
      <c r="B16" s="6" t="inlineStr">
        <is>
          <t>SCI LF  Toulouse Blagnac 6</t>
        </is>
      </c>
      <c r="C16" s="6" t="inlineStr">
        <is>
          <t>SCI</t>
        </is>
      </c>
      <c r="D16" s="6" t="n">
        <v>90</v>
      </c>
      <c r="E16" s="6" t="n">
        <v>2</v>
      </c>
      <c r="F16" s="9" t="n">
        <v>13910</v>
      </c>
      <c r="G16" s="9" t="n">
        <v>72651930</v>
      </c>
      <c r="H16" s="9" t="n">
        <v>64176634.09816097</v>
      </c>
      <c r="I16" s="6" t="n">
        <v>0</v>
      </c>
      <c r="J16" s="9" t="n">
        <v>65230350.88140406</v>
      </c>
      <c r="K16" s="9" t="n">
        <v>69312181.85822609</v>
      </c>
      <c r="L16" s="6" t="n"/>
      <c r="M16" s="9" t="n">
        <v>18064694.45103304</v>
      </c>
    </row>
    <row r="17">
      <c r="A17" s="6" t="inlineStr">
        <is>
          <t>LF Croissance &amp; Territoires</t>
        </is>
      </c>
      <c r="B17" s="6" t="inlineStr">
        <is>
          <t>SCI LF  Toulouse Blagnac 7</t>
        </is>
      </c>
      <c r="C17" s="6" t="inlineStr">
        <is>
          <t>SCI</t>
        </is>
      </c>
      <c r="D17" s="6" t="n">
        <v>80</v>
      </c>
      <c r="E17" s="6" t="n">
        <v>5</v>
      </c>
      <c r="F17" s="9" t="n">
        <v>21686</v>
      </c>
      <c r="G17" s="9" t="n">
        <v>152864614</v>
      </c>
      <c r="H17" s="9" t="n">
        <v>129908777.6642995</v>
      </c>
      <c r="I17" s="6" t="n">
        <v>0</v>
      </c>
      <c r="J17" s="9" t="n">
        <v>152098022.3514453</v>
      </c>
      <c r="K17" s="9" t="n">
        <v>164046956.3621552</v>
      </c>
      <c r="L17" s="6" t="n"/>
      <c r="M17" s="9" t="n">
        <v>46090779.21534642</v>
      </c>
    </row>
    <row r="18">
      <c r="A18" s="6" t="inlineStr">
        <is>
          <t>Pierre Sélection</t>
        </is>
      </c>
      <c r="B18" s="6" t="inlineStr">
        <is>
          <t>SCI PIE Lille Euralille 1</t>
        </is>
      </c>
      <c r="C18" s="6" t="inlineStr">
        <is>
          <t>SCI</t>
        </is>
      </c>
      <c r="D18" s="6" t="n">
        <v>100</v>
      </c>
      <c r="E18" s="6" t="n">
        <v>2</v>
      </c>
      <c r="F18" s="9" t="n">
        <v>28488</v>
      </c>
      <c r="G18" s="9" t="n">
        <v>160216512</v>
      </c>
      <c r="H18" s="9" t="n">
        <v>135658545.6096934</v>
      </c>
      <c r="I18" s="17" t="n">
        <v>5367726</v>
      </c>
      <c r="J18" s="9" t="n">
        <v>146558863.2650941</v>
      </c>
      <c r="K18" s="9" t="n">
        <v>164237810.4904666</v>
      </c>
      <c r="L18" s="6" t="n"/>
      <c r="M18" s="9" t="n">
        <v>50295718.79339654</v>
      </c>
    </row>
    <row r="19">
      <c r="A19" s="6" t="inlineStr">
        <is>
          <t>Pierre Sélection</t>
        </is>
      </c>
      <c r="B19" s="6" t="inlineStr">
        <is>
          <t>SCI PIE Paris 9ème 2</t>
        </is>
      </c>
      <c r="C19" s="6" t="inlineStr">
        <is>
          <t>SCI</t>
        </is>
      </c>
      <c r="D19" s="6" t="n">
        <v>100</v>
      </c>
      <c r="E19" s="6" t="n">
        <v>2</v>
      </c>
      <c r="F19" s="9" t="n">
        <v>34260</v>
      </c>
      <c r="G19" s="9" t="n">
        <v>140877120</v>
      </c>
      <c r="H19" s="9" t="n">
        <v>131053236.0258847</v>
      </c>
      <c r="I19" s="6" t="n">
        <v>0</v>
      </c>
      <c r="J19" s="9" t="n">
        <v>129236610.5435003</v>
      </c>
      <c r="K19" s="9" t="n">
        <v>141589759.5308656</v>
      </c>
      <c r="L19" s="6" t="n"/>
      <c r="M19" s="9" t="n">
        <v>21900971.98752987</v>
      </c>
    </row>
    <row r="20">
      <c r="A20" s="6" t="inlineStr">
        <is>
          <t>Pierre Sélection</t>
        </is>
      </c>
      <c r="B20" s="6" t="inlineStr">
        <is>
          <t>SCI PIE Nice 3</t>
        </is>
      </c>
      <c r="C20" s="6" t="inlineStr">
        <is>
          <t>SCI</t>
        </is>
      </c>
      <c r="D20" s="6" t="n">
        <v>90</v>
      </c>
      <c r="E20" s="6" t="n">
        <v>2</v>
      </c>
      <c r="F20" s="9" t="n">
        <v>21832</v>
      </c>
      <c r="G20" s="9" t="n">
        <v>154024760</v>
      </c>
      <c r="H20" s="9" t="n">
        <v>145830266.9359609</v>
      </c>
      <c r="I20" s="17" t="n">
        <v>5690407</v>
      </c>
      <c r="J20" s="9" t="n">
        <v>148665548.1803498</v>
      </c>
      <c r="K20" s="9" t="n">
        <v>147989795.0271938</v>
      </c>
      <c r="L20" s="6" t="n"/>
      <c r="M20" s="9" t="n">
        <v>34850599.60459112</v>
      </c>
    </row>
    <row r="21">
      <c r="A21" s="6" t="inlineStr">
        <is>
          <t>Pierre Sélection</t>
        </is>
      </c>
      <c r="B21" s="6" t="inlineStr">
        <is>
          <t>SCI PIE Levallois-Perret 4</t>
        </is>
      </c>
      <c r="C21" s="6" t="inlineStr">
        <is>
          <t>SCI</t>
        </is>
      </c>
      <c r="D21" s="6" t="n">
        <v>100</v>
      </c>
      <c r="E21" s="6" t="n">
        <v>4</v>
      </c>
      <c r="F21" s="9" t="n">
        <v>29755</v>
      </c>
      <c r="G21" s="9" t="n">
        <v>221764015</v>
      </c>
      <c r="H21" s="9" t="n">
        <v>207309138.6351014</v>
      </c>
      <c r="I21" s="17" t="n">
        <v>7899942</v>
      </c>
      <c r="J21" s="9" t="n">
        <v>195573089.289596</v>
      </c>
      <c r="K21" s="9" t="n">
        <v>221026302.6557049</v>
      </c>
      <c r="L21" s="6" t="n"/>
      <c r="M21" s="9" t="n">
        <v>40589371.58315002</v>
      </c>
    </row>
    <row r="22">
      <c r="A22" s="6" t="inlineStr">
        <is>
          <t>Pierre Sélection</t>
        </is>
      </c>
      <c r="B22" s="6" t="inlineStr">
        <is>
          <t>SCI PIE La Défense 5</t>
        </is>
      </c>
      <c r="C22" s="6" t="inlineStr">
        <is>
          <t>SCI</t>
        </is>
      </c>
      <c r="D22" s="6" t="n">
        <v>90</v>
      </c>
      <c r="E22" s="6" t="n">
        <v>1</v>
      </c>
      <c r="F22" s="9" t="n">
        <v>11335</v>
      </c>
      <c r="G22" s="9" t="n">
        <v>61481040</v>
      </c>
      <c r="H22" s="9" t="n">
        <v>57682580.77946939</v>
      </c>
      <c r="I22" s="17" t="n">
        <v>7043997</v>
      </c>
      <c r="J22" s="9" t="n">
        <v>62120740.92663247</v>
      </c>
      <c r="K22" s="9" t="n">
        <v>65173397.89894053</v>
      </c>
      <c r="L22" s="6" t="n"/>
      <c r="M22" s="9" t="n">
        <v>13193877.42048033</v>
      </c>
    </row>
    <row r="23">
      <c r="A23" s="6" t="inlineStr">
        <is>
          <t>Atout Pierre Diversification</t>
        </is>
      </c>
      <c r="B23" s="6" t="inlineStr">
        <is>
          <t>SCI ATO Paris 16ème 1</t>
        </is>
      </c>
      <c r="C23" s="6" t="inlineStr">
        <is>
          <t>SCI</t>
        </is>
      </c>
      <c r="D23" s="6" t="n">
        <v>100</v>
      </c>
      <c r="E23" s="6" t="n">
        <v>5</v>
      </c>
      <c r="F23" s="9" t="n">
        <v>30994</v>
      </c>
      <c r="G23" s="9" t="n">
        <v>138419204</v>
      </c>
      <c r="H23" s="9" t="n">
        <v>130906692.9161965</v>
      </c>
      <c r="I23" s="6" t="n">
        <v>0</v>
      </c>
      <c r="J23" s="9" t="n">
        <v>136498475.1788939</v>
      </c>
      <c r="K23" s="9" t="n">
        <v>133061579.1668036</v>
      </c>
      <c r="L23" s="6" t="n"/>
      <c r="M23" s="9" t="n">
        <v>45576967.16055199</v>
      </c>
    </row>
    <row r="24">
      <c r="A24" s="6" t="inlineStr">
        <is>
          <t>Atout Pierre Diversification</t>
        </is>
      </c>
      <c r="B24" s="6" t="inlineStr">
        <is>
          <t>SCI ATO Boulogne-Billancourt 2</t>
        </is>
      </c>
      <c r="C24" s="6" t="inlineStr">
        <is>
          <t>SCI</t>
        </is>
      </c>
      <c r="D24" s="6" t="n">
        <v>90</v>
      </c>
      <c r="E24" s="6" t="n">
        <v>5</v>
      </c>
      <c r="F24" s="9" t="n">
        <v>26238</v>
      </c>
      <c r="G24" s="9" t="n">
        <v>98471214</v>
      </c>
      <c r="H24" s="9" t="n">
        <v>92898625.72997801</v>
      </c>
      <c r="I24" s="6" t="n">
        <v>0</v>
      </c>
      <c r="J24" s="9" t="n">
        <v>96276545.71900523</v>
      </c>
      <c r="K24" s="9" t="n">
        <v>102297234.1501735</v>
      </c>
      <c r="L24" s="6" t="n"/>
      <c r="M24" s="9" t="n">
        <v>28974575.55395779</v>
      </c>
    </row>
    <row r="25">
      <c r="A25" s="6" t="inlineStr">
        <is>
          <t>Atout Pierre Diversification</t>
        </is>
      </c>
      <c r="B25" s="6" t="inlineStr">
        <is>
          <t>SCI ATO Issy-les-Moulineaux 3</t>
        </is>
      </c>
      <c r="C25" s="6" t="inlineStr">
        <is>
          <t>SCI</t>
        </is>
      </c>
      <c r="D25" s="6" t="n">
        <v>100</v>
      </c>
      <c r="E25" s="6" t="n">
        <v>3</v>
      </c>
      <c r="F25" s="9" t="n">
        <v>12857</v>
      </c>
      <c r="G25" s="9" t="n">
        <v>95476082</v>
      </c>
      <c r="H25" s="9" t="n">
        <v>85337240.1486077</v>
      </c>
      <c r="I25" s="6" t="n">
        <v>0</v>
      </c>
      <c r="J25" s="9" t="n">
        <v>94741459.8671322</v>
      </c>
      <c r="K25" s="9" t="n">
        <v>102280067.125834</v>
      </c>
      <c r="L25" s="6" t="n"/>
      <c r="M25" s="9" t="n">
        <v>32612278.99011731</v>
      </c>
    </row>
    <row r="26">
      <c r="A26" s="6" t="inlineStr">
        <is>
          <t>Atout Pierre Diversification</t>
        </is>
      </c>
      <c r="B26" s="6" t="inlineStr">
        <is>
          <t>SCI ATO Nantes Atlantique 4</t>
        </is>
      </c>
      <c r="C26" s="6" t="inlineStr">
        <is>
          <t>SCI</t>
        </is>
      </c>
      <c r="D26" s="6" t="n">
        <v>90</v>
      </c>
      <c r="E26" s="6" t="n">
        <v>1</v>
      </c>
      <c r="F26" s="9" t="n">
        <v>8855</v>
      </c>
      <c r="G26" s="9" t="n">
        <v>45939740</v>
      </c>
      <c r="H26" s="9" t="n">
        <v>40880813.22338041</v>
      </c>
      <c r="I26" s="17" t="n">
        <v>1656935</v>
      </c>
      <c r="J26" s="9" t="n">
        <v>46807360.72403987</v>
      </c>
      <c r="K26" s="9" t="n">
        <v>47944900.83452208</v>
      </c>
      <c r="L26" s="6" t="n"/>
      <c r="M26" s="9" t="n">
        <v>6044178.690182214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3" customWidth="1" min="3" max="3"/>
    <col width="25" customWidth="1" min="4" max="4"/>
    <col width="17" customWidth="1" min="5" max="5"/>
    <col width="21" customWidth="1" min="6" max="6"/>
    <col width="13" customWidth="1" min="7" max="7"/>
    <col width="27" customWidth="1" min="8" max="8"/>
    <col width="27" customWidth="1" min="9" max="9"/>
  </cols>
  <sheetData>
    <row r="1">
      <c r="A1" s="5" t="inlineStr">
        <is>
          <t>scpi_source</t>
        </is>
      </c>
      <c r="B1" s="5" t="inlineStr">
        <is>
          <t>nom_entite</t>
        </is>
      </c>
      <c r="C1" s="5" t="inlineStr">
        <is>
          <t>type_entite</t>
        </is>
      </c>
      <c r="D1" s="5" t="inlineStr">
        <is>
          <t>compte_courant_rattache</t>
        </is>
      </c>
      <c r="E1" s="5" t="inlineStr">
        <is>
          <t>autres_creances</t>
        </is>
      </c>
      <c r="F1" s="5" t="inlineStr">
        <is>
          <t>dettes_fournisseurs</t>
        </is>
      </c>
      <c r="G1" s="5" t="inlineStr">
        <is>
          <t>commissions</t>
        </is>
      </c>
      <c r="H1" s="5" t="inlineStr">
        <is>
          <t>dividendes_participations</t>
        </is>
      </c>
      <c r="I1" s="5" t="inlineStr">
        <is>
          <t>produits_comptes_courants</t>
        </is>
      </c>
    </row>
    <row r="2">
      <c r="A2" s="6" t="inlineStr">
        <is>
          <t>Rivoli Avenir Patrimoine</t>
        </is>
      </c>
      <c r="B2" s="6" t="inlineStr">
        <is>
          <t>SCI RIV Bordeaux 1</t>
        </is>
      </c>
      <c r="C2" s="6" t="inlineStr">
        <is>
          <t>SCI</t>
        </is>
      </c>
      <c r="D2" s="6" t="n">
        <v>7722063</v>
      </c>
      <c r="E2" s="6" t="n">
        <v>68687</v>
      </c>
      <c r="F2" s="6" t="n">
        <v>111363</v>
      </c>
      <c r="G2" s="6" t="n"/>
      <c r="H2" s="6" t="n"/>
      <c r="I2" s="6" t="n"/>
    </row>
    <row r="3">
      <c r="A3" s="6" t="inlineStr">
        <is>
          <t>Rivoli Avenir Patrimoine</t>
        </is>
      </c>
      <c r="B3" s="6" t="inlineStr">
        <is>
          <t>SCI RIV Bordeaux 2</t>
        </is>
      </c>
      <c r="C3" s="6" t="inlineStr">
        <is>
          <t>SCI</t>
        </is>
      </c>
      <c r="D3" s="6" t="n">
        <v>2473293</v>
      </c>
      <c r="E3" s="6" t="n">
        <v>289486</v>
      </c>
      <c r="F3" s="6" t="n">
        <v>69622</v>
      </c>
      <c r="G3" s="6" t="n"/>
      <c r="H3" s="6" t="n"/>
      <c r="I3" s="6" t="n"/>
    </row>
    <row r="4">
      <c r="A4" s="6" t="inlineStr">
        <is>
          <t>Rivoli Avenir Patrimoine</t>
        </is>
      </c>
      <c r="B4" s="6" t="inlineStr">
        <is>
          <t>SCI RIV Paris 3</t>
        </is>
      </c>
      <c r="C4" s="6" t="inlineStr">
        <is>
          <t>SCI</t>
        </is>
      </c>
      <c r="D4" s="6" t="n">
        <v>5622988</v>
      </c>
      <c r="E4" s="6" t="n">
        <v>175789</v>
      </c>
      <c r="F4" s="6" t="n">
        <v>146828</v>
      </c>
      <c r="G4" s="6" t="n"/>
      <c r="H4" s="6" t="n"/>
      <c r="I4" s="6" t="n"/>
    </row>
    <row r="5">
      <c r="A5" s="6" t="inlineStr">
        <is>
          <t>Aestiam Placement Pierre</t>
        </is>
      </c>
      <c r="B5" s="6" t="inlineStr">
        <is>
          <t>SCI AES Lyon 1</t>
        </is>
      </c>
      <c r="C5" s="6" t="inlineStr">
        <is>
          <t>SCI</t>
        </is>
      </c>
      <c r="D5" s="6" t="n">
        <v>6598566</v>
      </c>
      <c r="E5" s="6" t="n">
        <v>61376</v>
      </c>
      <c r="F5" s="6" t="n">
        <v>103369</v>
      </c>
      <c r="G5" s="6" t="n"/>
      <c r="H5" s="6" t="n"/>
      <c r="I5" s="6" t="n"/>
    </row>
    <row r="6">
      <c r="A6" s="6" t="inlineStr">
        <is>
          <t>Aestiam Placement Pierre</t>
        </is>
      </c>
      <c r="B6" s="6" t="inlineStr">
        <is>
          <t>SCI AES Lyon 2</t>
        </is>
      </c>
      <c r="C6" s="6" t="inlineStr">
        <is>
          <t>SCI</t>
        </is>
      </c>
      <c r="D6" s="6" t="n">
        <v>3817587</v>
      </c>
      <c r="E6" s="6" t="n">
        <v>179497</v>
      </c>
      <c r="F6" s="6" t="n">
        <v>36278</v>
      </c>
      <c r="G6" s="6" t="n"/>
      <c r="H6" s="6" t="n"/>
      <c r="I6" s="6" t="n"/>
    </row>
    <row r="7">
      <c r="A7" s="6" t="inlineStr">
        <is>
          <t>Aestiam Placement Pierre</t>
        </is>
      </c>
      <c r="B7" s="6" t="inlineStr">
        <is>
          <t>SCI AES Paris 3</t>
        </is>
      </c>
      <c r="C7" s="6" t="inlineStr">
        <is>
          <t>SCI</t>
        </is>
      </c>
      <c r="D7" s="6" t="n">
        <v>4339449</v>
      </c>
      <c r="E7" s="6" t="n">
        <v>65473</v>
      </c>
      <c r="F7" s="6" t="n">
        <v>137984</v>
      </c>
      <c r="G7" s="6" t="n"/>
      <c r="H7" s="6" t="n"/>
      <c r="I7" s="6" t="n"/>
    </row>
    <row r="8">
      <c r="A8" s="6" t="inlineStr">
        <is>
          <t>Aestiam Placement Pierre</t>
        </is>
      </c>
      <c r="B8" s="6" t="inlineStr">
        <is>
          <t>SCI AES Lyon 4</t>
        </is>
      </c>
      <c r="C8" s="6" t="inlineStr">
        <is>
          <t>SCI</t>
        </is>
      </c>
      <c r="D8" s="6" t="n">
        <v>7044634</v>
      </c>
      <c r="E8" s="6" t="n">
        <v>176332</v>
      </c>
      <c r="F8" s="6" t="n">
        <v>104234</v>
      </c>
      <c r="G8" s="6" t="n"/>
      <c r="H8" s="6" t="n"/>
      <c r="I8" s="6" t="n"/>
    </row>
    <row r="9">
      <c r="A9" s="6" t="inlineStr">
        <is>
          <t>Aestiam Placement Pierre</t>
        </is>
      </c>
      <c r="B9" s="6" t="inlineStr">
        <is>
          <t>SCI AES Paris 5</t>
        </is>
      </c>
      <c r="C9" s="6" t="inlineStr">
        <is>
          <t>SCI</t>
        </is>
      </c>
      <c r="D9" s="6" t="n">
        <v>5450970</v>
      </c>
      <c r="E9" s="6" t="n">
        <v>190323</v>
      </c>
      <c r="F9" s="6" t="n">
        <v>42738</v>
      </c>
      <c r="G9" s="6" t="n"/>
      <c r="H9" s="6" t="n"/>
      <c r="I9" s="6" t="n"/>
    </row>
    <row r="10">
      <c r="A10" s="6" t="inlineStr">
        <is>
          <t>LF Croissance &amp; Territoires</t>
        </is>
      </c>
      <c r="B10" s="6" t="inlineStr">
        <is>
          <t>SCI LF  Lyon 1</t>
        </is>
      </c>
      <c r="C10" s="6" t="inlineStr">
        <is>
          <t>SCI</t>
        </is>
      </c>
      <c r="D10" s="6" t="n">
        <v>4199247</v>
      </c>
      <c r="E10" s="6" t="n">
        <v>125588</v>
      </c>
      <c r="F10" s="6" t="n">
        <v>72636</v>
      </c>
      <c r="G10" s="6" t="n"/>
      <c r="H10" s="6" t="n"/>
      <c r="I10" s="6" t="n"/>
    </row>
    <row r="11">
      <c r="A11" s="6" t="inlineStr">
        <is>
          <t>LF Croissance &amp; Territoires</t>
        </is>
      </c>
      <c r="B11" s="6" t="inlineStr">
        <is>
          <t>SCI LF  Lyon 2</t>
        </is>
      </c>
      <c r="C11" s="6" t="inlineStr">
        <is>
          <t>SCI</t>
        </is>
      </c>
      <c r="D11" s="6" t="n">
        <v>1461175</v>
      </c>
      <c r="E11" s="6" t="n">
        <v>170375</v>
      </c>
      <c r="F11" s="6" t="n">
        <v>60864</v>
      </c>
      <c r="G11" s="6" t="n"/>
      <c r="H11" s="6" t="n"/>
      <c r="I11" s="6" t="n"/>
    </row>
    <row r="12">
      <c r="A12" s="6" t="inlineStr">
        <is>
          <t>LF Croissance &amp; Territoires</t>
        </is>
      </c>
      <c r="B12" s="6" t="inlineStr">
        <is>
          <t>SCI LF  Paris 3</t>
        </is>
      </c>
      <c r="C12" s="6" t="inlineStr">
        <is>
          <t>SCI</t>
        </is>
      </c>
      <c r="D12" s="6" t="n">
        <v>4503574</v>
      </c>
      <c r="E12" s="6" t="n">
        <v>139955</v>
      </c>
      <c r="F12" s="6" t="n">
        <v>121755</v>
      </c>
      <c r="G12" s="6" t="n"/>
      <c r="H12" s="6" t="n"/>
      <c r="I12" s="6" t="n"/>
    </row>
    <row r="13">
      <c r="A13" s="6" t="inlineStr">
        <is>
          <t>LF Croissance &amp; Territoires</t>
        </is>
      </c>
      <c r="B13" s="6" t="inlineStr">
        <is>
          <t>SCI LF  Lyon 4</t>
        </is>
      </c>
      <c r="C13" s="6" t="inlineStr">
        <is>
          <t>SCI</t>
        </is>
      </c>
      <c r="D13" s="6" t="n">
        <v>4555600</v>
      </c>
      <c r="E13" s="6" t="n">
        <v>89853</v>
      </c>
      <c r="F13" s="6" t="n">
        <v>50496</v>
      </c>
      <c r="G13" s="6" t="n"/>
      <c r="H13" s="6" t="n"/>
      <c r="I13" s="6" t="n"/>
    </row>
    <row r="14">
      <c r="A14" s="6" t="inlineStr">
        <is>
          <t>Pierre Sélection</t>
        </is>
      </c>
      <c r="B14" s="6" t="inlineStr">
        <is>
          <t>SCI PIE Paris 1</t>
        </is>
      </c>
      <c r="C14" s="6" t="inlineStr">
        <is>
          <t>SCI</t>
        </is>
      </c>
      <c r="D14" s="6" t="n">
        <v>5094215</v>
      </c>
      <c r="E14" s="6" t="n">
        <v>218394</v>
      </c>
      <c r="F14" s="6" t="n">
        <v>134280</v>
      </c>
      <c r="G14" s="6" t="n"/>
      <c r="H14" s="6" t="n"/>
      <c r="I14" s="6" t="n"/>
    </row>
    <row r="15">
      <c r="A15" s="6" t="inlineStr">
        <is>
          <t>Pierre Sélection</t>
        </is>
      </c>
      <c r="B15" s="6" t="inlineStr">
        <is>
          <t>SCI PIE Paris 2</t>
        </is>
      </c>
      <c r="C15" s="6" t="inlineStr">
        <is>
          <t>SCI</t>
        </is>
      </c>
      <c r="D15" s="6" t="n">
        <v>3813489</v>
      </c>
      <c r="E15" s="6" t="n">
        <v>276403</v>
      </c>
      <c r="F15" s="6" t="n">
        <v>39976</v>
      </c>
      <c r="G15" s="6" t="n"/>
      <c r="H15" s="6" t="n"/>
      <c r="I15" s="6" t="n"/>
    </row>
    <row r="16">
      <c r="A16" s="6" t="inlineStr">
        <is>
          <t>Pierre Sélection</t>
        </is>
      </c>
      <c r="B16" s="6" t="inlineStr">
        <is>
          <t>SCI PIE Lyon 3</t>
        </is>
      </c>
      <c r="C16" s="6" t="inlineStr">
        <is>
          <t>SCI</t>
        </is>
      </c>
      <c r="D16" s="6" t="n">
        <v>1335604</v>
      </c>
      <c r="E16" s="6" t="n">
        <v>101302</v>
      </c>
      <c r="F16" s="6" t="n">
        <v>110296</v>
      </c>
      <c r="G16" s="6" t="n"/>
      <c r="H16" s="6" t="n"/>
      <c r="I16" s="6" t="n"/>
    </row>
    <row r="17">
      <c r="A17" s="6" t="inlineStr">
        <is>
          <t>Pierre Sélection</t>
        </is>
      </c>
      <c r="B17" s="6" t="inlineStr">
        <is>
          <t>SCI PIE Lyon 4</t>
        </is>
      </c>
      <c r="C17" s="6" t="inlineStr">
        <is>
          <t>SCI</t>
        </is>
      </c>
      <c r="D17" s="6" t="n">
        <v>5803597</v>
      </c>
      <c r="E17" s="6" t="n">
        <v>206673</v>
      </c>
      <c r="F17" s="6" t="n">
        <v>96328</v>
      </c>
      <c r="G17" s="6" t="n"/>
      <c r="H17" s="6" t="n"/>
      <c r="I17" s="6" t="n"/>
    </row>
    <row r="18">
      <c r="A18" s="6" t="inlineStr">
        <is>
          <t>Pierre Sélection</t>
        </is>
      </c>
      <c r="B18" s="6" t="inlineStr">
        <is>
          <t>SCI PIE Bordeaux 5</t>
        </is>
      </c>
      <c r="C18" s="6" t="inlineStr">
        <is>
          <t>SCI</t>
        </is>
      </c>
      <c r="D18" s="6" t="n">
        <v>3700883</v>
      </c>
      <c r="E18" s="6" t="n">
        <v>277550</v>
      </c>
      <c r="F18" s="6" t="n">
        <v>145111</v>
      </c>
      <c r="G18" s="6" t="n"/>
      <c r="H18" s="6" t="n"/>
      <c r="I18" s="6" t="n"/>
    </row>
    <row r="19">
      <c r="A19" s="6" t="inlineStr">
        <is>
          <t>Atout Pierre Diversification</t>
        </is>
      </c>
      <c r="B19" s="6" t="inlineStr">
        <is>
          <t>SCI ATO Paris 1</t>
        </is>
      </c>
      <c r="C19" s="6" t="inlineStr">
        <is>
          <t>SCI</t>
        </is>
      </c>
      <c r="D19" s="6" t="n">
        <v>3914137</v>
      </c>
      <c r="E19" s="6" t="n">
        <v>290168</v>
      </c>
      <c r="F19" s="6" t="n">
        <v>53397</v>
      </c>
      <c r="G19" s="6" t="n"/>
      <c r="H19" s="6" t="n"/>
      <c r="I19" s="6" t="n"/>
    </row>
    <row r="20">
      <c r="A20" s="6" t="inlineStr">
        <is>
          <t>Atout Pierre Diversification</t>
        </is>
      </c>
      <c r="B20" s="6" t="inlineStr">
        <is>
          <t>SCI ATO Bordeaux 2</t>
        </is>
      </c>
      <c r="C20" s="6" t="inlineStr">
        <is>
          <t>SCI</t>
        </is>
      </c>
      <c r="D20" s="6" t="n">
        <v>2558211</v>
      </c>
      <c r="E20" s="6" t="n">
        <v>160670</v>
      </c>
      <c r="F20" s="6" t="n">
        <v>80127</v>
      </c>
      <c r="G20" s="6" t="n"/>
      <c r="H20" s="6" t="n"/>
      <c r="I20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6" customWidth="1" min="3" max="3"/>
    <col width="12" customWidth="1" min="4" max="4"/>
    <col width="24" customWidth="1" min="5" max="5"/>
    <col width="14" customWidth="1" min="6" max="6"/>
    <col width="12" customWidth="1" min="7" max="7"/>
    <col width="17" customWidth="1" min="8" max="8"/>
    <col width="15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0" customWidth="1" min="16" max="16"/>
    <col width="21" customWidth="1" min="17" max="17"/>
    <col width="10" customWidth="1" min="18" max="18"/>
    <col width="49" customWidth="1" min="19" max="19"/>
  </cols>
  <sheetData>
    <row r="1">
      <c r="A1" s="18" t="inlineStr">
        <is>
          <t>🔧 DÉTAIL DES CAPEX PAR ACTIF</t>
        </is>
      </c>
    </row>
    <row r="2"/>
    <row r="3">
      <c r="A3" s="14" t="inlineStr">
        <is>
          <t>SCPI</t>
        </is>
      </c>
      <c r="B3" s="14" t="inlineStr">
        <is>
          <t>ID Actif</t>
        </is>
      </c>
      <c r="C3" s="14" t="inlineStr">
        <is>
          <t>Nom Actif</t>
        </is>
      </c>
      <c r="D3" s="14" t="inlineStr">
        <is>
          <t>Type</t>
        </is>
      </c>
      <c r="E3" s="14" t="inlineStr">
        <is>
          <t>Ville</t>
        </is>
      </c>
      <c r="F3" s="14" t="inlineStr">
        <is>
          <t>Source</t>
        </is>
      </c>
      <c r="G3" s="14" t="inlineStr">
        <is>
          <t>Surface m²</t>
        </is>
      </c>
      <c r="H3" s="14" t="inlineStr">
        <is>
          <t>Valeur Vénale €</t>
        </is>
      </c>
      <c r="I3" s="14" t="inlineStr">
        <is>
          <t>CAPEX TOTAL €</t>
        </is>
      </c>
      <c r="J3" s="14" t="inlineStr">
        <is>
          <t>Rénovation €</t>
        </is>
      </c>
      <c r="K3" s="14" t="inlineStr">
        <is>
          <t>Gros Entretien €</t>
        </is>
      </c>
      <c r="L3" s="14" t="inlineStr">
        <is>
          <t>Conformité €</t>
        </is>
      </c>
      <c r="M3" s="14" t="inlineStr">
        <is>
          <t>Environnement €</t>
        </is>
      </c>
      <c r="N3" s="14" t="inlineStr">
        <is>
          <t>Amélioration €</t>
        </is>
      </c>
      <c r="O3" s="14" t="inlineStr">
        <is>
          <t>Autres €</t>
        </is>
      </c>
      <c r="P3" s="14" t="inlineStr">
        <is>
          <t>CAPEX/m² €</t>
        </is>
      </c>
      <c r="Q3" s="14" t="inlineStr">
        <is>
          <t>CAPEX/VV %</t>
        </is>
      </c>
      <c r="R3" s="14" t="inlineStr">
        <is>
          <t>Statut</t>
        </is>
      </c>
      <c r="S3" s="14" t="inlineStr">
        <is>
          <t>Description</t>
        </is>
      </c>
    </row>
    <row r="4">
      <c r="A4" s="6" t="inlineStr">
        <is>
          <t>Aestiam Placement Pierre</t>
        </is>
      </c>
      <c r="B4" s="6" t="inlineStr">
        <is>
          <t>SCI-SCI AES Lille Euralille 3</t>
        </is>
      </c>
      <c r="C4" s="6" t="inlineStr">
        <is>
          <t>SCI AES Lille Euralille 3</t>
        </is>
      </c>
      <c r="D4" s="6" t="inlineStr">
        <is>
          <t>SCI</t>
        </is>
      </c>
      <c r="E4" s="6" t="n"/>
      <c r="F4" s="6" t="inlineStr">
        <is>
          <t>SCI</t>
        </is>
      </c>
      <c r="G4" s="9" t="n">
        <v>12569</v>
      </c>
      <c r="H4" s="9" t="n">
        <v>81044912</v>
      </c>
      <c r="I4" s="19" t="n">
        <v>6575634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8" t="n">
        <v>523.1628610072401</v>
      </c>
      <c r="Q4" s="7" t="n">
        <v>8.113567943660671</v>
      </c>
      <c r="R4" s="6" t="n"/>
      <c r="S4" s="6" t="n"/>
    </row>
    <row r="5">
      <c r="A5" s="6" t="inlineStr">
        <is>
          <t>Aestiam Placement Pierre</t>
        </is>
      </c>
      <c r="B5" s="6" t="inlineStr">
        <is>
          <t>SCI-SCI AES Toulouse Labège 2</t>
        </is>
      </c>
      <c r="C5" s="6" t="inlineStr">
        <is>
          <t>SCI AES Toulouse Labège 2</t>
        </is>
      </c>
      <c r="D5" s="6" t="inlineStr">
        <is>
          <t>SCI</t>
        </is>
      </c>
      <c r="E5" s="6" t="n"/>
      <c r="F5" s="6" t="inlineStr">
        <is>
          <t>SCI</t>
        </is>
      </c>
      <c r="G5" s="9" t="n">
        <v>18732</v>
      </c>
      <c r="H5" s="9" t="n">
        <v>128576448</v>
      </c>
      <c r="I5" s="19" t="n">
        <v>4466503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8" t="n">
        <v>238.4423980354474</v>
      </c>
      <c r="Q5" s="7" t="n">
        <v>3.473811160190084</v>
      </c>
      <c r="R5" s="6" t="n"/>
      <c r="S5" s="6" t="n"/>
    </row>
    <row r="6">
      <c r="A6" s="6" t="inlineStr">
        <is>
          <t>Aestiam Placement Pierre</t>
        </is>
      </c>
      <c r="B6" s="6" t="inlineStr">
        <is>
          <t>SCI-SCI AES La Défense 5</t>
        </is>
      </c>
      <c r="C6" s="6" t="inlineStr">
        <is>
          <t>SCI AES La Défense 5</t>
        </is>
      </c>
      <c r="D6" s="6" t="inlineStr">
        <is>
          <t>SCI</t>
        </is>
      </c>
      <c r="E6" s="6" t="n"/>
      <c r="F6" s="6" t="inlineStr">
        <is>
          <t>SCI</t>
        </is>
      </c>
      <c r="G6" s="9" t="n">
        <v>14776</v>
      </c>
      <c r="H6" s="9" t="n">
        <v>109593592</v>
      </c>
      <c r="I6" s="19" t="n">
        <v>3321307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8" t="n">
        <v>224.7771386031402</v>
      </c>
      <c r="Q6" s="7" t="n">
        <v>3.03056678715303</v>
      </c>
      <c r="R6" s="6" t="n"/>
      <c r="S6" s="6" t="n"/>
    </row>
    <row r="7">
      <c r="A7" s="6" t="inlineStr">
        <is>
          <t>Aestiam Placement Pierre</t>
        </is>
      </c>
      <c r="B7" s="6" t="inlineStr">
        <is>
          <t>AES-020</t>
        </is>
      </c>
      <c r="C7" s="6" t="inlineStr">
        <is>
          <t>Immeuble Toulouse Labège 20</t>
        </is>
      </c>
      <c r="D7" s="6" t="inlineStr">
        <is>
          <t>Commerces</t>
        </is>
      </c>
      <c r="E7" s="6" t="inlineStr">
        <is>
          <t>Toulouse Labège</t>
        </is>
      </c>
      <c r="F7" s="6" t="inlineStr">
        <is>
          <t>Actif Direct</t>
        </is>
      </c>
      <c r="G7" s="9" t="n">
        <v>9531</v>
      </c>
      <c r="H7" s="9" t="n">
        <v>54650754</v>
      </c>
      <c r="I7" s="19" t="n">
        <v>2636073</v>
      </c>
      <c r="J7" s="9" t="n">
        <v>598684.705766605</v>
      </c>
      <c r="K7" s="9" t="n">
        <v>660314.5855539187</v>
      </c>
      <c r="L7" s="9" t="n">
        <v>520028.732908893</v>
      </c>
      <c r="M7" s="9" t="n">
        <v>241074.4858966815</v>
      </c>
      <c r="N7" s="9" t="n">
        <v>140856.9575730349</v>
      </c>
      <c r="O7" s="9" t="n">
        <v>475113.5323008667</v>
      </c>
      <c r="P7" s="8" t="n">
        <v>276.5788479697828</v>
      </c>
      <c r="Q7" s="7" t="n">
        <v>4.823488803100503</v>
      </c>
      <c r="R7" s="6" t="inlineStr">
        <is>
          <t>Réalisé</t>
        </is>
      </c>
      <c r="S7" s="6" t="inlineStr">
        <is>
          <t>Rénovation sanitaires</t>
        </is>
      </c>
    </row>
    <row r="8">
      <c r="A8" s="6" t="inlineStr">
        <is>
          <t>Aestiam Placement Pierre</t>
        </is>
      </c>
      <c r="B8" s="6" t="inlineStr">
        <is>
          <t>AES-008</t>
        </is>
      </c>
      <c r="C8" s="6" t="inlineStr">
        <is>
          <t>Immeuble Levallois-Perret 8</t>
        </is>
      </c>
      <c r="D8" s="6" t="inlineStr">
        <is>
          <t>Bureaux</t>
        </is>
      </c>
      <c r="E8" s="6" t="inlineStr">
        <is>
          <t>Levallois-Perret</t>
        </is>
      </c>
      <c r="F8" s="6" t="inlineStr">
        <is>
          <t>Actif Direct</t>
        </is>
      </c>
      <c r="G8" s="9" t="n">
        <v>9190</v>
      </c>
      <c r="H8" s="9" t="n">
        <v>67941670</v>
      </c>
      <c r="I8" s="19" t="n">
        <v>2569308</v>
      </c>
      <c r="J8" s="9" t="n">
        <v>1045471.785327885</v>
      </c>
      <c r="K8" s="9" t="n">
        <v>427199.6815110212</v>
      </c>
      <c r="L8" s="9" t="n">
        <v>327505.615801701</v>
      </c>
      <c r="M8" s="9" t="n">
        <v>307917.4810280793</v>
      </c>
      <c r="N8" s="9" t="n">
        <v>140180.2905901537</v>
      </c>
      <c r="O8" s="9" t="n">
        <v>321033.14574116</v>
      </c>
      <c r="P8" s="8" t="n">
        <v>279.5764961915125</v>
      </c>
      <c r="Q8" s="7" t="n">
        <v>3.781637984465204</v>
      </c>
      <c r="R8" s="6" t="inlineStr">
        <is>
          <t>En cours</t>
        </is>
      </c>
      <c r="S8" s="6" t="inlineStr">
        <is>
          <t>Réaménagement plateaux de bureaux</t>
        </is>
      </c>
    </row>
    <row r="9">
      <c r="A9" s="6" t="inlineStr">
        <is>
          <t>Aestiam Placement Pierre</t>
        </is>
      </c>
      <c r="B9" s="6" t="inlineStr">
        <is>
          <t>AES-016</t>
        </is>
      </c>
      <c r="C9" s="6" t="inlineStr">
        <is>
          <t>Immeuble Bordeaux Euratlantique 16</t>
        </is>
      </c>
      <c r="D9" s="6" t="inlineStr">
        <is>
          <t>Logistique</t>
        </is>
      </c>
      <c r="E9" s="6" t="inlineStr">
        <is>
          <t>Bordeaux Euratlantique</t>
        </is>
      </c>
      <c r="F9" s="6" t="inlineStr">
        <is>
          <t>Actif Direct</t>
        </is>
      </c>
      <c r="G9" s="9" t="n">
        <v>21559</v>
      </c>
      <c r="H9" s="9" t="n">
        <v>112365508</v>
      </c>
      <c r="I9" s="19" t="n">
        <v>2396755</v>
      </c>
      <c r="J9" s="9" t="n">
        <v>866053.0718077833</v>
      </c>
      <c r="K9" s="9" t="n">
        <v>323998.1105670625</v>
      </c>
      <c r="L9" s="9" t="n">
        <v>240502.1939247708</v>
      </c>
      <c r="M9" s="9" t="n">
        <v>131431.5567186577</v>
      </c>
      <c r="N9" s="9" t="n">
        <v>274665.6926667302</v>
      </c>
      <c r="O9" s="9" t="n">
        <v>560104.3743149955</v>
      </c>
      <c r="P9" s="8" t="n">
        <v>111.1719003664363</v>
      </c>
      <c r="Q9" s="7" t="n">
        <v>2.132998855841064</v>
      </c>
      <c r="R9" s="6" t="inlineStr">
        <is>
          <t>En cours</t>
        </is>
      </c>
      <c r="S9" s="6" t="inlineStr">
        <is>
          <t>Modernisation ascenseurs</t>
        </is>
      </c>
    </row>
    <row r="10">
      <c r="A10" s="6" t="inlineStr">
        <is>
          <t>Aestiam Placement Pierre</t>
        </is>
      </c>
      <c r="B10" s="6" t="inlineStr">
        <is>
          <t>AES-021</t>
        </is>
      </c>
      <c r="C10" s="6" t="inlineStr">
        <is>
          <t>Immeuble Strasbourg 21</t>
        </is>
      </c>
      <c r="D10" s="6" t="inlineStr">
        <is>
          <t>Santé</t>
        </is>
      </c>
      <c r="E10" s="6" t="inlineStr">
        <is>
          <t>Strasbourg</t>
        </is>
      </c>
      <c r="F10" s="6" t="inlineStr">
        <is>
          <t>Actif Direct</t>
        </is>
      </c>
      <c r="G10" s="9" t="n">
        <v>18976</v>
      </c>
      <c r="H10" s="9" t="n">
        <v>93741440</v>
      </c>
      <c r="I10" s="19" t="n">
        <v>2254205</v>
      </c>
      <c r="J10" s="9" t="n">
        <v>694911.9194527406</v>
      </c>
      <c r="K10" s="9" t="n">
        <v>417309.9481573016</v>
      </c>
      <c r="L10" s="9" t="n">
        <v>428143.4113811848</v>
      </c>
      <c r="M10" s="9" t="n">
        <v>272717.8750131616</v>
      </c>
      <c r="N10" s="9" t="n">
        <v>123896.3929857832</v>
      </c>
      <c r="O10" s="9" t="n">
        <v>317225.4530098282</v>
      </c>
      <c r="P10" s="8" t="n">
        <v>118.7924220067454</v>
      </c>
      <c r="Q10" s="7" t="n">
        <v>2.404704898921971</v>
      </c>
      <c r="R10" s="6" t="inlineStr">
        <is>
          <t>Planifié</t>
        </is>
      </c>
      <c r="S10" s="6" t="inlineStr">
        <is>
          <t>Amélioration performance thermique</t>
        </is>
      </c>
    </row>
    <row r="11">
      <c r="A11" s="6" t="inlineStr">
        <is>
          <t>Aestiam Placement Pierre</t>
        </is>
      </c>
      <c r="B11" s="6" t="inlineStr">
        <is>
          <t>AES-015</t>
        </is>
      </c>
      <c r="C11" s="6" t="inlineStr">
        <is>
          <t>Immeuble Rennes 15</t>
        </is>
      </c>
      <c r="D11" s="6" t="inlineStr">
        <is>
          <t>Bureaux</t>
        </is>
      </c>
      <c r="E11" s="6" t="inlineStr">
        <is>
          <t>Rennes</t>
        </is>
      </c>
      <c r="F11" s="6" t="inlineStr">
        <is>
          <t>Actif Direct</t>
        </is>
      </c>
      <c r="G11" s="9" t="n">
        <v>16968</v>
      </c>
      <c r="H11" s="9" t="n">
        <v>122322312</v>
      </c>
      <c r="I11" s="19" t="n">
        <v>2108655</v>
      </c>
      <c r="J11" s="9" t="n">
        <v>1033781.425710789</v>
      </c>
      <c r="K11" s="9" t="n">
        <v>233933.6267293698</v>
      </c>
      <c r="L11" s="9" t="n">
        <v>228752.0365321544</v>
      </c>
      <c r="M11" s="9" t="n">
        <v>163036.9804036026</v>
      </c>
      <c r="N11" s="9" t="n">
        <v>148746.8608496321</v>
      </c>
      <c r="O11" s="9" t="n">
        <v>300404.0697744521</v>
      </c>
      <c r="P11" s="8" t="n">
        <v>124.2724540311174</v>
      </c>
      <c r="Q11" s="7" t="n">
        <v>1.723851491623212</v>
      </c>
      <c r="R11" s="6" t="inlineStr">
        <is>
          <t>Planifié</t>
        </is>
      </c>
      <c r="S11" s="6" t="inlineStr">
        <is>
          <t>Rénovation parties communes</t>
        </is>
      </c>
    </row>
    <row r="12">
      <c r="A12" s="6" t="inlineStr">
        <is>
          <t>Aestiam Placement Pierre</t>
        </is>
      </c>
      <c r="B12" s="6" t="inlineStr">
        <is>
          <t>AES-012</t>
        </is>
      </c>
      <c r="C12" s="6" t="inlineStr">
        <is>
          <t>Immeuble Issy-les-Moulineaux 12</t>
        </is>
      </c>
      <c r="D12" s="6" t="inlineStr">
        <is>
          <t>Bureaux</t>
        </is>
      </c>
      <c r="E12" s="6" t="inlineStr">
        <is>
          <t>Issy-les-Moulineaux</t>
        </is>
      </c>
      <c r="F12" s="6" t="inlineStr">
        <is>
          <t>Actif Direct</t>
        </is>
      </c>
      <c r="G12" s="9" t="n">
        <v>3238</v>
      </c>
      <c r="H12" s="9" t="n">
        <v>16662748</v>
      </c>
      <c r="I12" s="19" t="n">
        <v>2070557</v>
      </c>
      <c r="J12" s="9" t="n">
        <v>859977.7262511768</v>
      </c>
      <c r="K12" s="9" t="n">
        <v>389913.8428378039</v>
      </c>
      <c r="L12" s="9" t="n">
        <v>353880.7331783986</v>
      </c>
      <c r="M12" s="9" t="n">
        <v>245378.9155168881</v>
      </c>
      <c r="N12" s="9" t="n">
        <v>281079.3567662482</v>
      </c>
      <c r="O12" s="9" t="n">
        <v>-59673.57455051532</v>
      </c>
      <c r="P12" s="8" t="n">
        <v>639.4555281037677</v>
      </c>
      <c r="Q12" s="7" t="n">
        <v>12.42626366311247</v>
      </c>
      <c r="R12" s="6" t="inlineStr">
        <is>
          <t>En cours</t>
        </is>
      </c>
      <c r="S12" s="6" t="inlineStr">
        <is>
          <t>Remplacement système CVC</t>
        </is>
      </c>
    </row>
    <row r="13">
      <c r="A13" s="6" t="inlineStr">
        <is>
          <t>Aestiam Placement Pierre</t>
        </is>
      </c>
      <c r="B13" s="6" t="inlineStr">
        <is>
          <t>AES-007</t>
        </is>
      </c>
      <c r="C13" s="6" t="inlineStr">
        <is>
          <t>Immeuble Bordeaux Euratlantique 7</t>
        </is>
      </c>
      <c r="D13" s="6" t="inlineStr">
        <is>
          <t>Logistique</t>
        </is>
      </c>
      <c r="E13" s="6" t="inlineStr">
        <is>
          <t>Bordeaux Euratlantique</t>
        </is>
      </c>
      <c r="F13" s="6" t="inlineStr">
        <is>
          <t>Actif Direct</t>
        </is>
      </c>
      <c r="G13" s="9" t="n">
        <v>17526</v>
      </c>
      <c r="H13" s="9" t="n">
        <v>132198618</v>
      </c>
      <c r="I13" s="19" t="n">
        <v>1874041</v>
      </c>
      <c r="J13" s="9" t="n">
        <v>566927.4322168995</v>
      </c>
      <c r="K13" s="9" t="n">
        <v>254940.8261914042</v>
      </c>
      <c r="L13" s="9" t="n">
        <v>188414.9691695733</v>
      </c>
      <c r="M13" s="9" t="n">
        <v>128227.7773077945</v>
      </c>
      <c r="N13" s="9" t="n">
        <v>240124.231592086</v>
      </c>
      <c r="O13" s="9" t="n">
        <v>495405.7635222424</v>
      </c>
      <c r="P13" s="8" t="n">
        <v>106.9291909163529</v>
      </c>
      <c r="Q13" s="7" t="n">
        <v>1.417595000879661</v>
      </c>
      <c r="R13" s="6" t="inlineStr">
        <is>
          <t>En cours</t>
        </is>
      </c>
      <c r="S13" s="6" t="inlineStr">
        <is>
          <t>Installation bornes de recharge VE</t>
        </is>
      </c>
    </row>
    <row r="14">
      <c r="A14" s="6" t="inlineStr">
        <is>
          <t>Aestiam Placement Pierre</t>
        </is>
      </c>
      <c r="B14" s="6" t="inlineStr">
        <is>
          <t>SCI-SCI AES Rennes 1</t>
        </is>
      </c>
      <c r="C14" s="6" t="inlineStr">
        <is>
          <t>SCI AES Rennes 1</t>
        </is>
      </c>
      <c r="D14" s="6" t="inlineStr">
        <is>
          <t>SCI</t>
        </is>
      </c>
      <c r="E14" s="6" t="n"/>
      <c r="F14" s="6" t="inlineStr">
        <is>
          <t>SCI</t>
        </is>
      </c>
      <c r="G14" s="9" t="n">
        <v>13656</v>
      </c>
      <c r="H14" s="9" t="n">
        <v>56931864</v>
      </c>
      <c r="I14" s="19" t="n">
        <v>1866316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8" t="n">
        <v>136.666373755126</v>
      </c>
      <c r="Q14" s="7" t="n">
        <v>3.278157202089853</v>
      </c>
      <c r="R14" s="6" t="n"/>
      <c r="S14" s="6" t="n"/>
    </row>
    <row r="15">
      <c r="A15" s="6" t="inlineStr">
        <is>
          <t>Aestiam Placement Pierre</t>
        </is>
      </c>
      <c r="B15" s="6" t="inlineStr">
        <is>
          <t>AES-025</t>
        </is>
      </c>
      <c r="C15" s="6" t="inlineStr">
        <is>
          <t>Immeuble Levallois-Perret 25</t>
        </is>
      </c>
      <c r="D15" s="6" t="inlineStr">
        <is>
          <t>Activités</t>
        </is>
      </c>
      <c r="E15" s="6" t="inlineStr">
        <is>
          <t>Levallois-Perret</t>
        </is>
      </c>
      <c r="F15" s="6" t="inlineStr">
        <is>
          <t>Actif Direct</t>
        </is>
      </c>
      <c r="G15" s="9" t="n">
        <v>10088</v>
      </c>
      <c r="H15" s="9" t="n">
        <v>75962640</v>
      </c>
      <c r="I15" s="19" t="n">
        <v>913960</v>
      </c>
      <c r="J15" s="9" t="n">
        <v>373887.3600917662</v>
      </c>
      <c r="K15" s="9" t="n">
        <v>216514.7546343532</v>
      </c>
      <c r="L15" s="9" t="n">
        <v>108226.9169268678</v>
      </c>
      <c r="M15" s="9" t="n">
        <v>85648.32150460681</v>
      </c>
      <c r="N15" s="9" t="n">
        <v>88955.98446971882</v>
      </c>
      <c r="O15" s="9" t="n">
        <v>40726.66237268723</v>
      </c>
      <c r="P15" s="8" t="n">
        <v>90.59873116574147</v>
      </c>
      <c r="Q15" s="7" t="n">
        <v>1.203170400607457</v>
      </c>
      <c r="R15" s="6" t="inlineStr">
        <is>
          <t>Planifié</t>
        </is>
      </c>
      <c r="S15" s="6" t="inlineStr">
        <is>
          <t>Mise aux normes sécurité incendie</t>
        </is>
      </c>
    </row>
    <row r="16">
      <c r="A16" s="6" t="inlineStr">
        <is>
          <t>Aestiam Placement Pierre</t>
        </is>
      </c>
      <c r="B16" s="6" t="inlineStr">
        <is>
          <t>AES-003</t>
        </is>
      </c>
      <c r="C16" s="6" t="inlineStr">
        <is>
          <t>Immeuble Neuilly-sur-Seine 3</t>
        </is>
      </c>
      <c r="D16" s="6" t="inlineStr">
        <is>
          <t>Logistique</t>
        </is>
      </c>
      <c r="E16" s="6" t="inlineStr">
        <is>
          <t>Neuilly-sur-Seine</t>
        </is>
      </c>
      <c r="F16" s="6" t="inlineStr">
        <is>
          <t>Actif Direct</t>
        </is>
      </c>
      <c r="G16" s="9" t="n">
        <v>10795</v>
      </c>
      <c r="H16" s="9" t="n">
        <v>85938995</v>
      </c>
      <c r="I16" s="19" t="n">
        <v>764224</v>
      </c>
      <c r="J16" s="9" t="n">
        <v>214207.099069817</v>
      </c>
      <c r="K16" s="9" t="n">
        <v>159129.7321748873</v>
      </c>
      <c r="L16" s="9" t="n">
        <v>138357.3874495033</v>
      </c>
      <c r="M16" s="9" t="n">
        <v>101765.7726261668</v>
      </c>
      <c r="N16" s="9" t="n">
        <v>94797.42047474731</v>
      </c>
      <c r="O16" s="9" t="n">
        <v>55966.58820487829</v>
      </c>
      <c r="P16" s="8" t="n">
        <v>70.7942566002779</v>
      </c>
      <c r="Q16" s="7" t="n">
        <v>0.8892633664147458</v>
      </c>
      <c r="R16" s="6" t="inlineStr">
        <is>
          <t>Réalisé</t>
        </is>
      </c>
      <c r="S16" s="6" t="inlineStr">
        <is>
          <t>Amélioration performance thermique</t>
        </is>
      </c>
    </row>
    <row r="17">
      <c r="A17" s="6" t="inlineStr">
        <is>
          <t>Aestiam Placement Pierre</t>
        </is>
      </c>
      <c r="B17" s="6" t="inlineStr">
        <is>
          <t>AES-017</t>
        </is>
      </c>
      <c r="C17" s="6" t="inlineStr">
        <is>
          <t>Immeuble La Défense 17</t>
        </is>
      </c>
      <c r="D17" s="6" t="inlineStr">
        <is>
          <t>Santé</t>
        </is>
      </c>
      <c r="E17" s="6" t="inlineStr">
        <is>
          <t>La Défense</t>
        </is>
      </c>
      <c r="F17" s="6" t="inlineStr">
        <is>
          <t>Actif Direct</t>
        </is>
      </c>
      <c r="G17" s="9" t="n">
        <v>23105</v>
      </c>
      <c r="H17" s="9" t="n">
        <v>148357205</v>
      </c>
      <c r="I17" s="19" t="n">
        <v>297269</v>
      </c>
      <c r="J17" s="9" t="n">
        <v>116179.1063400711</v>
      </c>
      <c r="K17" s="9" t="n">
        <v>82497.61393192736</v>
      </c>
      <c r="L17" s="9" t="n">
        <v>57256.48650818303</v>
      </c>
      <c r="M17" s="9" t="n">
        <v>26220.63838520268</v>
      </c>
      <c r="N17" s="9" t="n">
        <v>33911.47846424107</v>
      </c>
      <c r="O17" s="9" t="n">
        <v>-18796.32362962524</v>
      </c>
      <c r="P17" s="8" t="n">
        <v>12.86600302964726</v>
      </c>
      <c r="Q17" s="7" t="n">
        <v>0.2003738207389388</v>
      </c>
      <c r="R17" s="6" t="inlineStr">
        <is>
          <t>Réalisé</t>
        </is>
      </c>
      <c r="S17" s="6" t="inlineStr">
        <is>
          <t>Remplacement système CVC</t>
        </is>
      </c>
    </row>
    <row r="18">
      <c r="A18" s="6" t="inlineStr">
        <is>
          <t>Aestiam Placement Pierre</t>
        </is>
      </c>
      <c r="B18" s="6" t="inlineStr">
        <is>
          <t>AES-026</t>
        </is>
      </c>
      <c r="C18" s="6" t="inlineStr">
        <is>
          <t>Immeuble Nice 26</t>
        </is>
      </c>
      <c r="D18" s="6" t="inlineStr">
        <is>
          <t>Santé</t>
        </is>
      </c>
      <c r="E18" s="6" t="inlineStr">
        <is>
          <t>Nice</t>
        </is>
      </c>
      <c r="F18" s="6" t="inlineStr">
        <is>
          <t>Actif Direct</t>
        </is>
      </c>
      <c r="G18" s="9" t="n">
        <v>16481</v>
      </c>
      <c r="H18" s="9" t="n">
        <v>89541273</v>
      </c>
      <c r="I18" s="19" t="n">
        <v>289795</v>
      </c>
      <c r="J18" s="9" t="n">
        <v>121238.0050198913</v>
      </c>
      <c r="K18" s="9" t="n">
        <v>71234.25026389809</v>
      </c>
      <c r="L18" s="9" t="n">
        <v>34287.01430803501</v>
      </c>
      <c r="M18" s="9" t="n">
        <v>37738.87976552903</v>
      </c>
      <c r="N18" s="9" t="n">
        <v>21189.96310001601</v>
      </c>
      <c r="O18" s="9" t="n">
        <v>4106.887542630508</v>
      </c>
      <c r="P18" s="8" t="n">
        <v>17.58358109338026</v>
      </c>
      <c r="Q18" s="7" t="n">
        <v>0.3236440473657327</v>
      </c>
      <c r="R18" s="6" t="inlineStr">
        <is>
          <t>Planifié</t>
        </is>
      </c>
      <c r="S18" s="6" t="inlineStr">
        <is>
          <t>Rénovation énergétique - mise aux normes RT2020</t>
        </is>
      </c>
    </row>
    <row r="19"/>
    <row r="20">
      <c r="A20" s="20" t="n"/>
    </row>
    <row r="21">
      <c r="A21" s="6" t="inlineStr">
        <is>
          <t>Atout Pierre Diversification</t>
        </is>
      </c>
      <c r="B21" s="6" t="inlineStr">
        <is>
          <t>ATO-017</t>
        </is>
      </c>
      <c r="C21" s="6" t="inlineStr">
        <is>
          <t>Immeuble Lyon Part-Dieu 17</t>
        </is>
      </c>
      <c r="D21" s="6" t="inlineStr">
        <is>
          <t>Santé</t>
        </is>
      </c>
      <c r="E21" s="6" t="inlineStr">
        <is>
          <t>Lyon Part-Dieu</t>
        </is>
      </c>
      <c r="F21" s="6" t="inlineStr">
        <is>
          <t>Actif Direct</t>
        </is>
      </c>
      <c r="G21" s="9" t="n">
        <v>13324</v>
      </c>
      <c r="H21" s="9" t="n">
        <v>93894228</v>
      </c>
      <c r="I21" s="19" t="n">
        <v>3287021</v>
      </c>
      <c r="J21" s="9" t="n">
        <v>977277.5768495847</v>
      </c>
      <c r="K21" s="9" t="n">
        <v>979920.443544608</v>
      </c>
      <c r="L21" s="9" t="n">
        <v>460717.1882393476</v>
      </c>
      <c r="M21" s="9" t="n">
        <v>399622.1882613434</v>
      </c>
      <c r="N21" s="9" t="n">
        <v>473395.1766329674</v>
      </c>
      <c r="O21" s="9" t="n">
        <v>-3911.573527851229</v>
      </c>
      <c r="P21" s="8" t="n">
        <v>246.6992644851396</v>
      </c>
      <c r="Q21" s="7" t="n">
        <v>3.500770036684257</v>
      </c>
      <c r="R21" s="6" t="inlineStr">
        <is>
          <t>Planifié</t>
        </is>
      </c>
      <c r="S21" s="6" t="inlineStr">
        <is>
          <t>Amélioration performance thermique</t>
        </is>
      </c>
    </row>
    <row r="22">
      <c r="A22" s="6" t="inlineStr">
        <is>
          <t>Atout Pierre Diversification</t>
        </is>
      </c>
      <c r="B22" s="6" t="inlineStr">
        <is>
          <t>ATO-001</t>
        </is>
      </c>
      <c r="C22" s="6" t="inlineStr">
        <is>
          <t>Immeuble Bordeaux Euratlantique 1</t>
        </is>
      </c>
      <c r="D22" s="6" t="inlineStr">
        <is>
          <t>Commerces</t>
        </is>
      </c>
      <c r="E22" s="6" t="inlineStr">
        <is>
          <t>Bordeaux Euratlantique</t>
        </is>
      </c>
      <c r="F22" s="6" t="inlineStr">
        <is>
          <t>Actif Direct</t>
        </is>
      </c>
      <c r="G22" s="9" t="n">
        <v>21311</v>
      </c>
      <c r="H22" s="9" t="n">
        <v>73927859</v>
      </c>
      <c r="I22" s="19" t="n">
        <v>3076306</v>
      </c>
      <c r="J22" s="9" t="n">
        <v>819542.732632034</v>
      </c>
      <c r="K22" s="9" t="n">
        <v>567378.6192450912</v>
      </c>
      <c r="L22" s="9" t="n">
        <v>409664.2044015857</v>
      </c>
      <c r="M22" s="9" t="n">
        <v>271457.0048141477</v>
      </c>
      <c r="N22" s="9" t="n">
        <v>445961.822339115</v>
      </c>
      <c r="O22" s="9" t="n">
        <v>562301.6165680265</v>
      </c>
      <c r="P22" s="8" t="n">
        <v>144.3529632584111</v>
      </c>
      <c r="Q22" s="7" t="n">
        <v>4.161226960461549</v>
      </c>
      <c r="R22" s="6" t="inlineStr">
        <is>
          <t>Planifié</t>
        </is>
      </c>
      <c r="S22" s="6" t="inlineStr">
        <is>
          <t>Création espaces verts et terrasses</t>
        </is>
      </c>
    </row>
    <row r="23">
      <c r="A23" s="6" t="inlineStr">
        <is>
          <t>Atout Pierre Diversification</t>
        </is>
      </c>
      <c r="B23" s="6" t="inlineStr">
        <is>
          <t>ATO-026</t>
        </is>
      </c>
      <c r="C23" s="6" t="inlineStr">
        <is>
          <t>Immeuble Nice 26</t>
        </is>
      </c>
      <c r="D23" s="6" t="inlineStr">
        <is>
          <t>Commerces</t>
        </is>
      </c>
      <c r="E23" s="6" t="inlineStr">
        <is>
          <t>Nice</t>
        </is>
      </c>
      <c r="F23" s="6" t="inlineStr">
        <is>
          <t>Actif Direct</t>
        </is>
      </c>
      <c r="G23" s="9" t="n">
        <v>6664</v>
      </c>
      <c r="H23" s="9" t="n">
        <v>35705712</v>
      </c>
      <c r="I23" s="19" t="n">
        <v>2450244</v>
      </c>
      <c r="J23" s="9" t="n">
        <v>1086472.386846069</v>
      </c>
      <c r="K23" s="9" t="n">
        <v>391854.5014293537</v>
      </c>
      <c r="L23" s="9" t="n">
        <v>274686.8968387416</v>
      </c>
      <c r="M23" s="9" t="n">
        <v>267116.0069139649</v>
      </c>
      <c r="N23" s="9" t="n">
        <v>353574.7884716625</v>
      </c>
      <c r="O23" s="9" t="n">
        <v>76539.41950020789</v>
      </c>
      <c r="P23" s="8" t="n">
        <v>367.6836734693878</v>
      </c>
      <c r="Q23" s="7" t="n">
        <v>6.862330598532806</v>
      </c>
      <c r="R23" s="6" t="inlineStr">
        <is>
          <t>En cours</t>
        </is>
      </c>
      <c r="S23" s="6" t="inlineStr">
        <is>
          <t>Réfection toiture et étanchéité</t>
        </is>
      </c>
    </row>
    <row r="24">
      <c r="A24" s="6" t="inlineStr">
        <is>
          <t>Atout Pierre Diversification</t>
        </is>
      </c>
      <c r="B24" s="6" t="inlineStr">
        <is>
          <t>ATO-005</t>
        </is>
      </c>
      <c r="C24" s="6" t="inlineStr">
        <is>
          <t>Immeuble Toulouse Labège 5</t>
        </is>
      </c>
      <c r="D24" s="6" t="inlineStr">
        <is>
          <t>Commerces</t>
        </is>
      </c>
      <c r="E24" s="6" t="inlineStr">
        <is>
          <t>Toulouse Labège</t>
        </is>
      </c>
      <c r="F24" s="6" t="inlineStr">
        <is>
          <t>Actif Direct</t>
        </is>
      </c>
      <c r="G24" s="9" t="n">
        <v>12221</v>
      </c>
      <c r="H24" s="9" t="n">
        <v>48676243</v>
      </c>
      <c r="I24" s="19" t="n">
        <v>2301145</v>
      </c>
      <c r="J24" s="9" t="n">
        <v>589946.8236100926</v>
      </c>
      <c r="K24" s="9" t="n">
        <v>269969.2103085877</v>
      </c>
      <c r="L24" s="9" t="n">
        <v>413076.9003598936</v>
      </c>
      <c r="M24" s="9" t="n">
        <v>302491.7213302135</v>
      </c>
      <c r="N24" s="9" t="n">
        <v>138571.8644059375</v>
      </c>
      <c r="O24" s="9" t="n">
        <v>587088.4799852751</v>
      </c>
      <c r="P24" s="8" t="n">
        <v>188.2943294329433</v>
      </c>
      <c r="Q24" s="7" t="n">
        <v>4.727449897889613</v>
      </c>
      <c r="R24" s="6" t="inlineStr">
        <is>
          <t>En cours</t>
        </is>
      </c>
      <c r="S24" s="6" t="inlineStr">
        <is>
          <t>Mise aux normes sécurité incendie</t>
        </is>
      </c>
    </row>
    <row r="25">
      <c r="A25" s="6" t="inlineStr">
        <is>
          <t>Atout Pierre Diversification</t>
        </is>
      </c>
      <c r="B25" s="6" t="inlineStr">
        <is>
          <t>ATO-024</t>
        </is>
      </c>
      <c r="C25" s="6" t="inlineStr">
        <is>
          <t>Immeuble Bordeaux Lac 24</t>
        </is>
      </c>
      <c r="D25" s="6" t="inlineStr">
        <is>
          <t>Commerces</t>
        </is>
      </c>
      <c r="E25" s="6" t="inlineStr">
        <is>
          <t>Bordeaux Lac</t>
        </is>
      </c>
      <c r="F25" s="6" t="inlineStr">
        <is>
          <t>Actif Direct</t>
        </is>
      </c>
      <c r="G25" s="9" t="n">
        <v>10966</v>
      </c>
      <c r="H25" s="9" t="n">
        <v>52209126</v>
      </c>
      <c r="I25" s="19" t="n">
        <v>1706829</v>
      </c>
      <c r="J25" s="9" t="n">
        <v>770975.3168667323</v>
      </c>
      <c r="K25" s="9" t="n">
        <v>445333.582044619</v>
      </c>
      <c r="L25" s="9" t="n">
        <v>337509.8960791095</v>
      </c>
      <c r="M25" s="9" t="n">
        <v>121933.7864931765</v>
      </c>
      <c r="N25" s="9" t="n">
        <v>93127.28097090466</v>
      </c>
      <c r="O25" s="9" t="n">
        <v>-62050.86245454191</v>
      </c>
      <c r="P25" s="8" t="n">
        <v>155.6473645814335</v>
      </c>
      <c r="Q25" s="7" t="n">
        <v>3.269215807213475</v>
      </c>
      <c r="R25" s="6" t="inlineStr">
        <is>
          <t>Réalisé</t>
        </is>
      </c>
      <c r="S25" s="6" t="inlineStr">
        <is>
          <t>Amélioration performance thermique</t>
        </is>
      </c>
    </row>
    <row r="26">
      <c r="A26" s="6" t="inlineStr">
        <is>
          <t>Atout Pierre Diversification</t>
        </is>
      </c>
      <c r="B26" s="6" t="inlineStr">
        <is>
          <t>SCI-SCI ATO Nantes Atlantique 4</t>
        </is>
      </c>
      <c r="C26" s="6" t="inlineStr">
        <is>
          <t>SCI ATO Nantes Atlantique 4</t>
        </is>
      </c>
      <c r="D26" s="6" t="inlineStr">
        <is>
          <t>SCI</t>
        </is>
      </c>
      <c r="E26" s="6" t="n"/>
      <c r="F26" s="6" t="inlineStr">
        <is>
          <t>SCI</t>
        </is>
      </c>
      <c r="G26" s="9" t="n">
        <v>8855</v>
      </c>
      <c r="H26" s="9" t="n">
        <v>45939740</v>
      </c>
      <c r="I26" s="19" t="n">
        <v>1656935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8" t="n">
        <v>187.1185770750988</v>
      </c>
      <c r="Q26" s="7" t="n">
        <v>3.606757460969522</v>
      </c>
      <c r="R26" s="6" t="n"/>
      <c r="S26" s="6" t="n"/>
    </row>
    <row r="27">
      <c r="A27" s="6" t="inlineStr">
        <is>
          <t>Atout Pierre Diversification</t>
        </is>
      </c>
      <c r="B27" s="6" t="inlineStr">
        <is>
          <t>ATO-021</t>
        </is>
      </c>
      <c r="C27" s="6" t="inlineStr">
        <is>
          <t>Immeuble Strasbourg 21</t>
        </is>
      </c>
      <c r="D27" s="6" t="inlineStr">
        <is>
          <t>Bureaux</t>
        </is>
      </c>
      <c r="E27" s="6" t="inlineStr">
        <is>
          <t>Strasbourg</t>
        </is>
      </c>
      <c r="F27" s="6" t="inlineStr">
        <is>
          <t>Actif Direct</t>
        </is>
      </c>
      <c r="G27" s="9" t="n">
        <v>4189</v>
      </c>
      <c r="H27" s="9" t="n">
        <v>24493083</v>
      </c>
      <c r="I27" s="19" t="n">
        <v>1366458</v>
      </c>
      <c r="J27" s="9" t="n">
        <v>624648.6494984948</v>
      </c>
      <c r="K27" s="9" t="n">
        <v>404129.4395666763</v>
      </c>
      <c r="L27" s="9" t="n">
        <v>250929.607501308</v>
      </c>
      <c r="M27" s="9" t="n">
        <v>149455.9309574535</v>
      </c>
      <c r="N27" s="9" t="n">
        <v>141283.9200730731</v>
      </c>
      <c r="O27" s="9" t="n">
        <v>-203989.5475970056</v>
      </c>
      <c r="P27" s="8" t="n">
        <v>326.2014800668417</v>
      </c>
      <c r="Q27" s="7" t="n">
        <v>5.578954678755631</v>
      </c>
      <c r="R27" s="6" t="inlineStr">
        <is>
          <t>En cours</t>
        </is>
      </c>
      <c r="S27" s="6" t="inlineStr">
        <is>
          <t>Réfection toiture et étanchéité</t>
        </is>
      </c>
    </row>
    <row r="28">
      <c r="A28" s="6" t="inlineStr">
        <is>
          <t>Atout Pierre Diversification</t>
        </is>
      </c>
      <c r="B28" s="6" t="inlineStr">
        <is>
          <t>ATO-009</t>
        </is>
      </c>
      <c r="C28" s="6" t="inlineStr">
        <is>
          <t>Immeuble Boulogne-Billancourt 9</t>
        </is>
      </c>
      <c r="D28" s="6" t="inlineStr">
        <is>
          <t>Logistique</t>
        </is>
      </c>
      <c r="E28" s="6" t="inlineStr">
        <is>
          <t>Boulogne-Billancourt</t>
        </is>
      </c>
      <c r="F28" s="6" t="inlineStr">
        <is>
          <t>Actif Direct</t>
        </is>
      </c>
      <c r="G28" s="9" t="n">
        <v>19998</v>
      </c>
      <c r="H28" s="9" t="n">
        <v>120167982</v>
      </c>
      <c r="I28" s="19" t="n">
        <v>755912</v>
      </c>
      <c r="J28" s="9" t="n">
        <v>304052.8306028441</v>
      </c>
      <c r="K28" s="9" t="n">
        <v>171388.3810595672</v>
      </c>
      <c r="L28" s="9" t="n">
        <v>118572.1407745604</v>
      </c>
      <c r="M28" s="9" t="n">
        <v>89685.54257601211</v>
      </c>
      <c r="N28" s="9" t="n">
        <v>86706.5017779888</v>
      </c>
      <c r="O28" s="9" t="n">
        <v>-14493.3967909726</v>
      </c>
      <c r="P28" s="8" t="n">
        <v>37.7993799379938</v>
      </c>
      <c r="Q28" s="7" t="n">
        <v>0.6290460964884973</v>
      </c>
      <c r="R28" s="6" t="inlineStr">
        <is>
          <t>En cours</t>
        </is>
      </c>
      <c r="S28" s="6" t="inlineStr">
        <is>
          <t>Rénovation énergétique - mise aux normes RT2020</t>
        </is>
      </c>
    </row>
    <row r="29">
      <c r="A29" s="6" t="inlineStr">
        <is>
          <t>Atout Pierre Diversification</t>
        </is>
      </c>
      <c r="B29" s="6" t="inlineStr">
        <is>
          <t>ATO-013</t>
        </is>
      </c>
      <c r="C29" s="6" t="inlineStr">
        <is>
          <t>Immeuble La Défense 13</t>
        </is>
      </c>
      <c r="D29" s="6" t="inlineStr">
        <is>
          <t>Commerces</t>
        </is>
      </c>
      <c r="E29" s="6" t="inlineStr">
        <is>
          <t>La Défense</t>
        </is>
      </c>
      <c r="F29" s="6" t="inlineStr">
        <is>
          <t>Actif Direct</t>
        </is>
      </c>
      <c r="G29" s="9" t="n">
        <v>12150</v>
      </c>
      <c r="H29" s="9" t="n">
        <v>69558750</v>
      </c>
      <c r="I29" s="19" t="n">
        <v>516386</v>
      </c>
      <c r="J29" s="9" t="n">
        <v>188267.9305872284</v>
      </c>
      <c r="K29" s="9" t="n">
        <v>96606.34204920703</v>
      </c>
      <c r="L29" s="9" t="n">
        <v>92436.95358929472</v>
      </c>
      <c r="M29" s="9" t="n">
        <v>50213.50075494893</v>
      </c>
      <c r="N29" s="9" t="n">
        <v>72052.73585322796</v>
      </c>
      <c r="O29" s="9" t="n">
        <v>16808.53716609297</v>
      </c>
      <c r="P29" s="8" t="n">
        <v>42.50090534979424</v>
      </c>
      <c r="Q29" s="7" t="n">
        <v>0.7423738925728252</v>
      </c>
      <c r="R29" s="6" t="inlineStr">
        <is>
          <t>Planifié</t>
        </is>
      </c>
      <c r="S29" s="6" t="inlineStr">
        <is>
          <t>Rénovation sanitaires</t>
        </is>
      </c>
    </row>
    <row r="30">
      <c r="A30" s="6" t="inlineStr">
        <is>
          <t>Atout Pierre Diversification</t>
        </is>
      </c>
      <c r="B30" s="6" t="inlineStr">
        <is>
          <t>ATO-027</t>
        </is>
      </c>
      <c r="C30" s="6" t="inlineStr">
        <is>
          <t>Immeuble Levallois-Perret 27</t>
        </is>
      </c>
      <c r="D30" s="6" t="inlineStr">
        <is>
          <t>Commerces</t>
        </is>
      </c>
      <c r="E30" s="6" t="inlineStr">
        <is>
          <t>Levallois-Perret</t>
        </is>
      </c>
      <c r="F30" s="6" t="inlineStr">
        <is>
          <t>Actif Direct</t>
        </is>
      </c>
      <c r="G30" s="9" t="n">
        <v>20533</v>
      </c>
      <c r="H30" s="9" t="n">
        <v>116771171</v>
      </c>
      <c r="I30" s="19" t="n">
        <v>354255</v>
      </c>
      <c r="J30" s="9" t="n">
        <v>153028.3775428917</v>
      </c>
      <c r="K30" s="9" t="n">
        <v>53993.09326553766</v>
      </c>
      <c r="L30" s="9" t="n">
        <v>61843.76243641845</v>
      </c>
      <c r="M30" s="9" t="n">
        <v>52000.97320854389</v>
      </c>
      <c r="N30" s="9" t="n">
        <v>25400.91506136797</v>
      </c>
      <c r="O30" s="9" t="n">
        <v>7987.878485240331</v>
      </c>
      <c r="P30" s="8" t="n">
        <v>17.25295865192617</v>
      </c>
      <c r="Q30" s="7" t="n">
        <v>0.3033753939146504</v>
      </c>
      <c r="R30" s="6" t="inlineStr">
        <is>
          <t>Réalisé</t>
        </is>
      </c>
      <c r="S30" s="6" t="inlineStr">
        <is>
          <t>Remplacement système CVC</t>
        </is>
      </c>
    </row>
    <row r="31"/>
    <row r="32">
      <c r="A32" s="20" t="n"/>
    </row>
    <row r="33">
      <c r="A33" s="6" t="inlineStr">
        <is>
          <t>LF Croissance &amp; Territoires</t>
        </is>
      </c>
      <c r="B33" s="6" t="inlineStr">
        <is>
          <t>SCI-SCI LF  Lyon Part-Dieu 1</t>
        </is>
      </c>
      <c r="C33" s="6" t="inlineStr">
        <is>
          <t>SCI LF  Lyon Part-Dieu 1</t>
        </is>
      </c>
      <c r="D33" s="6" t="inlineStr">
        <is>
          <t>SCI</t>
        </is>
      </c>
      <c r="E33" s="6" t="n"/>
      <c r="F33" s="6" t="inlineStr">
        <is>
          <t>SCI</t>
        </is>
      </c>
      <c r="G33" s="9" t="n">
        <v>25604</v>
      </c>
      <c r="H33" s="9" t="n">
        <v>108688980</v>
      </c>
      <c r="I33" s="19" t="n">
        <v>6453732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8" t="n">
        <v>252.0595219496954</v>
      </c>
      <c r="Q33" s="7" t="n">
        <v>5.937797925787876</v>
      </c>
      <c r="R33" s="6" t="n"/>
      <c r="S33" s="6" t="n"/>
    </row>
    <row r="34">
      <c r="A34" s="6" t="inlineStr">
        <is>
          <t>LF Croissance &amp; Territoires</t>
        </is>
      </c>
      <c r="B34" s="6" t="inlineStr">
        <is>
          <t>SCI-SCI LF  Issy-les-Moulineaux 3</t>
        </is>
      </c>
      <c r="C34" s="6" t="inlineStr">
        <is>
          <t>SCI LF  Issy-les-Moulineaux 3</t>
        </is>
      </c>
      <c r="D34" s="6" t="inlineStr">
        <is>
          <t>SCI</t>
        </is>
      </c>
      <c r="E34" s="6" t="n"/>
      <c r="F34" s="6" t="inlineStr">
        <is>
          <t>SCI</t>
        </is>
      </c>
      <c r="G34" s="9" t="n">
        <v>29108</v>
      </c>
      <c r="H34" s="9" t="n">
        <v>189580404</v>
      </c>
      <c r="I34" s="19" t="n">
        <v>5772057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8" t="n">
        <v>198.2979593238972</v>
      </c>
      <c r="Q34" s="7" t="n">
        <v>3.044648538674915</v>
      </c>
      <c r="R34" s="6" t="n"/>
      <c r="S34" s="6" t="n"/>
    </row>
    <row r="35">
      <c r="A35" s="6" t="inlineStr">
        <is>
          <t>LF Croissance &amp; Territoires</t>
        </is>
      </c>
      <c r="B35" s="6" t="inlineStr">
        <is>
          <t>LF -020</t>
        </is>
      </c>
      <c r="C35" s="6" t="inlineStr">
        <is>
          <t>Immeuble Lyon Part-Dieu 20</t>
        </is>
      </c>
      <c r="D35" s="6" t="inlineStr">
        <is>
          <t>Logistique</t>
        </is>
      </c>
      <c r="E35" s="6" t="inlineStr">
        <is>
          <t>Lyon Part-Dieu</t>
        </is>
      </c>
      <c r="F35" s="6" t="inlineStr">
        <is>
          <t>Actif Direct</t>
        </is>
      </c>
      <c r="G35" s="9" t="n">
        <v>14678</v>
      </c>
      <c r="H35" s="9" t="n">
        <v>62836518</v>
      </c>
      <c r="I35" s="19" t="n">
        <v>3340286</v>
      </c>
      <c r="J35" s="9" t="n">
        <v>971455.4061190295</v>
      </c>
      <c r="K35" s="9" t="n">
        <v>429356.2218478683</v>
      </c>
      <c r="L35" s="9" t="n">
        <v>342031.4459064082</v>
      </c>
      <c r="M35" s="9" t="n">
        <v>422049.5022516229</v>
      </c>
      <c r="N35" s="9" t="n">
        <v>256060.5803006674</v>
      </c>
      <c r="O35" s="9" t="n">
        <v>919332.8435744034</v>
      </c>
      <c r="P35" s="8" t="n">
        <v>227.5709224690012</v>
      </c>
      <c r="Q35" s="7" t="n">
        <v>5.315835610114488</v>
      </c>
      <c r="R35" s="6" t="inlineStr">
        <is>
          <t>En cours</t>
        </is>
      </c>
      <c r="S35" s="6" t="inlineStr">
        <is>
          <t>Réaménagement plateaux de bureaux</t>
        </is>
      </c>
    </row>
    <row r="36">
      <c r="A36" s="6" t="inlineStr">
        <is>
          <t>LF Croissance &amp; Territoires</t>
        </is>
      </c>
      <c r="B36" s="6" t="inlineStr">
        <is>
          <t>LF -023</t>
        </is>
      </c>
      <c r="C36" s="6" t="inlineStr">
        <is>
          <t>Immeuble La Défense 23</t>
        </is>
      </c>
      <c r="D36" s="6" t="inlineStr">
        <is>
          <t>Bureaux</t>
        </is>
      </c>
      <c r="E36" s="6" t="inlineStr">
        <is>
          <t>La Défense</t>
        </is>
      </c>
      <c r="F36" s="6" t="inlineStr">
        <is>
          <t>Actif Direct</t>
        </is>
      </c>
      <c r="G36" s="9" t="n">
        <v>13611</v>
      </c>
      <c r="H36" s="9" t="n">
        <v>93779790</v>
      </c>
      <c r="I36" s="19" t="n">
        <v>3274165</v>
      </c>
      <c r="J36" s="9" t="n">
        <v>1129109.834910688</v>
      </c>
      <c r="K36" s="9" t="n">
        <v>358134.2296462808</v>
      </c>
      <c r="L36" s="9" t="n">
        <v>579641.1420863218</v>
      </c>
      <c r="M36" s="9" t="n">
        <v>314142.3367107395</v>
      </c>
      <c r="N36" s="9" t="n">
        <v>331170.1751871449</v>
      </c>
      <c r="O36" s="9" t="n">
        <v>561967.2814588251</v>
      </c>
      <c r="P36" s="8" t="n">
        <v>240.5528616560135</v>
      </c>
      <c r="Q36" s="7" t="n">
        <v>3.491333260609776</v>
      </c>
      <c r="R36" s="6" t="inlineStr">
        <is>
          <t>Planifié</t>
        </is>
      </c>
      <c r="S36" s="6" t="inlineStr">
        <is>
          <t>Installation bornes de recharge VE</t>
        </is>
      </c>
    </row>
    <row r="37">
      <c r="A37" s="6" t="inlineStr">
        <is>
          <t>LF Croissance &amp; Territoires</t>
        </is>
      </c>
      <c r="B37" s="6" t="inlineStr">
        <is>
          <t>LF -019</t>
        </is>
      </c>
      <c r="C37" s="6" t="inlineStr">
        <is>
          <t>Immeuble Aix-en-Provence 19</t>
        </is>
      </c>
      <c r="D37" s="6" t="inlineStr">
        <is>
          <t>Santé</t>
        </is>
      </c>
      <c r="E37" s="6" t="inlineStr">
        <is>
          <t>Aix-en-Provence</t>
        </is>
      </c>
      <c r="F37" s="6" t="inlineStr">
        <is>
          <t>Actif Direct</t>
        </is>
      </c>
      <c r="G37" s="9" t="n">
        <v>16041</v>
      </c>
      <c r="H37" s="9" t="n">
        <v>64500861</v>
      </c>
      <c r="I37" s="19" t="n">
        <v>3250024</v>
      </c>
      <c r="J37" s="9" t="n">
        <v>1373334.172424752</v>
      </c>
      <c r="K37" s="9" t="n">
        <v>618515.0717781089</v>
      </c>
      <c r="L37" s="9" t="n">
        <v>457406.3040289556</v>
      </c>
      <c r="M37" s="9" t="n">
        <v>283343.9940611862</v>
      </c>
      <c r="N37" s="9" t="n">
        <v>462981.1595617032</v>
      </c>
      <c r="O37" s="9" t="n">
        <v>54443.29814529406</v>
      </c>
      <c r="P37" s="8" t="n">
        <v>202.6073187457141</v>
      </c>
      <c r="Q37" s="7" t="n">
        <v>5.038729638043126</v>
      </c>
      <c r="R37" s="6" t="inlineStr">
        <is>
          <t>En cours</t>
        </is>
      </c>
      <c r="S37" s="6" t="inlineStr">
        <is>
          <t>Rénovation sanitaires</t>
        </is>
      </c>
    </row>
    <row r="38">
      <c r="A38" s="6" t="inlineStr">
        <is>
          <t>LF Croissance &amp; Territoires</t>
        </is>
      </c>
      <c r="B38" s="6" t="inlineStr">
        <is>
          <t>LF -004</t>
        </is>
      </c>
      <c r="C38" s="6" t="inlineStr">
        <is>
          <t>Immeuble Lille Euralille 4</t>
        </is>
      </c>
      <c r="D38" s="6" t="inlineStr">
        <is>
          <t>Santé</t>
        </is>
      </c>
      <c r="E38" s="6" t="inlineStr">
        <is>
          <t>Lille Euralille</t>
        </is>
      </c>
      <c r="F38" s="6" t="inlineStr">
        <is>
          <t>Actif Direct</t>
        </is>
      </c>
      <c r="G38" s="9" t="n">
        <v>10072</v>
      </c>
      <c r="H38" s="9" t="n">
        <v>62174456</v>
      </c>
      <c r="I38" s="19" t="n">
        <v>2997746</v>
      </c>
      <c r="J38" s="9" t="n">
        <v>1451018.450738872</v>
      </c>
      <c r="K38" s="9" t="n">
        <v>448301.827854992</v>
      </c>
      <c r="L38" s="9" t="n">
        <v>322681.3596781799</v>
      </c>
      <c r="M38" s="9" t="n">
        <v>411815.3910483957</v>
      </c>
      <c r="N38" s="9" t="n">
        <v>354349.5185528911</v>
      </c>
      <c r="O38" s="9" t="n">
        <v>9579.452126668935</v>
      </c>
      <c r="P38" s="8" t="n">
        <v>297.6316521048451</v>
      </c>
      <c r="Q38" s="7" t="n">
        <v>4.821507404905963</v>
      </c>
      <c r="R38" s="6" t="inlineStr">
        <is>
          <t>En cours</t>
        </is>
      </c>
      <c r="S38" s="6" t="inlineStr">
        <is>
          <t>Rénovation sanitaires</t>
        </is>
      </c>
    </row>
    <row r="39">
      <c r="A39" s="6" t="inlineStr">
        <is>
          <t>LF Croissance &amp; Territoires</t>
        </is>
      </c>
      <c r="B39" s="6" t="inlineStr">
        <is>
          <t>LF -006</t>
        </is>
      </c>
      <c r="C39" s="6" t="inlineStr">
        <is>
          <t>Immeuble Lyon Confluence 6</t>
        </is>
      </c>
      <c r="D39" s="6" t="inlineStr">
        <is>
          <t>Bureaux</t>
        </is>
      </c>
      <c r="E39" s="6" t="inlineStr">
        <is>
          <t>Lyon Confluence</t>
        </is>
      </c>
      <c r="F39" s="6" t="inlineStr">
        <is>
          <t>Actif Direct</t>
        </is>
      </c>
      <c r="G39" s="9" t="n">
        <v>10062</v>
      </c>
      <c r="H39" s="9" t="n">
        <v>42129594</v>
      </c>
      <c r="I39" s="19" t="n">
        <v>2789694</v>
      </c>
      <c r="J39" s="9" t="n">
        <v>1236788.371212008</v>
      </c>
      <c r="K39" s="9" t="n">
        <v>481290.1053617972</v>
      </c>
      <c r="L39" s="9" t="n">
        <v>301402.3117286189</v>
      </c>
      <c r="M39" s="9" t="n">
        <v>230728.566187499</v>
      </c>
      <c r="N39" s="9" t="n">
        <v>224193.8640654127</v>
      </c>
      <c r="O39" s="9" t="n">
        <v>315290.7814446648</v>
      </c>
      <c r="P39" s="8" t="n">
        <v>277.2504472271914</v>
      </c>
      <c r="Q39" s="7" t="n">
        <v>6.621696852810876</v>
      </c>
      <c r="R39" s="6" t="inlineStr">
        <is>
          <t>Planifié</t>
        </is>
      </c>
      <c r="S39" s="6" t="inlineStr">
        <is>
          <t>Remplacement système CVC</t>
        </is>
      </c>
    </row>
    <row r="40">
      <c r="A40" s="6" t="inlineStr">
        <is>
          <t>LF Croissance &amp; Territoires</t>
        </is>
      </c>
      <c r="B40" s="6" t="inlineStr">
        <is>
          <t>SCI-SCI LF  Saint-Denis 5</t>
        </is>
      </c>
      <c r="C40" s="6" t="inlineStr">
        <is>
          <t>SCI LF  Saint-Denis 5</t>
        </is>
      </c>
      <c r="D40" s="6" t="inlineStr">
        <is>
          <t>SCI</t>
        </is>
      </c>
      <c r="E40" s="6" t="n"/>
      <c r="F40" s="6" t="inlineStr">
        <is>
          <t>SCI</t>
        </is>
      </c>
      <c r="G40" s="9" t="n">
        <v>8260</v>
      </c>
      <c r="H40" s="9" t="n">
        <v>47726280</v>
      </c>
      <c r="I40" s="19" t="n">
        <v>2711371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8" t="n">
        <v>328.2531476997578</v>
      </c>
      <c r="Q40" s="7" t="n">
        <v>5.681085976112113</v>
      </c>
      <c r="R40" s="6" t="n"/>
      <c r="S40" s="6" t="n"/>
    </row>
    <row r="41">
      <c r="A41" s="6" t="inlineStr">
        <is>
          <t>LF Croissance &amp; Territoires</t>
        </is>
      </c>
      <c r="B41" s="6" t="inlineStr">
        <is>
          <t>LF -007</t>
        </is>
      </c>
      <c r="C41" s="6" t="inlineStr">
        <is>
          <t>Immeuble Paris 9ème 7</t>
        </is>
      </c>
      <c r="D41" s="6" t="inlineStr">
        <is>
          <t>Commerces</t>
        </is>
      </c>
      <c r="E41" s="6" t="inlineStr">
        <is>
          <t>Paris 9ème</t>
        </is>
      </c>
      <c r="F41" s="6" t="inlineStr">
        <is>
          <t>Actif Direct</t>
        </is>
      </c>
      <c r="G41" s="9" t="n">
        <v>6234</v>
      </c>
      <c r="H41" s="9" t="n">
        <v>45240138</v>
      </c>
      <c r="I41" s="19" t="n">
        <v>2146307</v>
      </c>
      <c r="J41" s="9" t="n">
        <v>555292.6066942371</v>
      </c>
      <c r="K41" s="9" t="n">
        <v>573533.9278720823</v>
      </c>
      <c r="L41" s="9" t="n">
        <v>222256.6190296192</v>
      </c>
      <c r="M41" s="9" t="n">
        <v>126629.7691537038</v>
      </c>
      <c r="N41" s="9" t="n">
        <v>261495.7331346577</v>
      </c>
      <c r="O41" s="9" t="n">
        <v>407098.3441156997</v>
      </c>
      <c r="P41" s="8" t="n">
        <v>344.290503689445</v>
      </c>
      <c r="Q41" s="7" t="n">
        <v>4.744253874733981</v>
      </c>
      <c r="R41" s="6" t="inlineStr">
        <is>
          <t>En cours</t>
        </is>
      </c>
      <c r="S41" s="6" t="inlineStr">
        <is>
          <t>Rénovation sanitaires</t>
        </is>
      </c>
    </row>
    <row r="42">
      <c r="A42" s="6" t="inlineStr">
        <is>
          <t>LF Croissance &amp; Territoires</t>
        </is>
      </c>
      <c r="B42" s="6" t="inlineStr">
        <is>
          <t>LF -008</t>
        </is>
      </c>
      <c r="C42" s="6" t="inlineStr">
        <is>
          <t>Immeuble Toulouse Labège 8</t>
        </is>
      </c>
      <c r="D42" s="6" t="inlineStr">
        <is>
          <t>Santé</t>
        </is>
      </c>
      <c r="E42" s="6" t="inlineStr">
        <is>
          <t>Toulouse Labège</t>
        </is>
      </c>
      <c r="F42" s="6" t="inlineStr">
        <is>
          <t>Actif Direct</t>
        </is>
      </c>
      <c r="G42" s="9" t="n">
        <v>14247</v>
      </c>
      <c r="H42" s="9" t="n">
        <v>88716069</v>
      </c>
      <c r="I42" s="19" t="n">
        <v>2140110</v>
      </c>
      <c r="J42" s="9" t="n">
        <v>754848.7530345829</v>
      </c>
      <c r="K42" s="9" t="n">
        <v>514643.9501880329</v>
      </c>
      <c r="L42" s="9" t="n">
        <v>364868.2975852018</v>
      </c>
      <c r="M42" s="9" t="n">
        <v>128236.9702932649</v>
      </c>
      <c r="N42" s="9" t="n">
        <v>163332.2928049818</v>
      </c>
      <c r="O42" s="9" t="n">
        <v>214179.7360939356</v>
      </c>
      <c r="P42" s="8" t="n">
        <v>150.2147820593809</v>
      </c>
      <c r="Q42" s="7" t="n">
        <v>2.412313827836533</v>
      </c>
      <c r="R42" s="6" t="inlineStr">
        <is>
          <t>Planifié</t>
        </is>
      </c>
      <c r="S42" s="6" t="inlineStr">
        <is>
          <t>Modernisation ascenseurs</t>
        </is>
      </c>
    </row>
    <row r="43">
      <c r="A43" s="6" t="inlineStr">
        <is>
          <t>LF Croissance &amp; Territoires</t>
        </is>
      </c>
      <c r="B43" s="6" t="inlineStr">
        <is>
          <t>LF -016</t>
        </is>
      </c>
      <c r="C43" s="6" t="inlineStr">
        <is>
          <t>Immeuble Bordeaux Euratlantique 16</t>
        </is>
      </c>
      <c r="D43" s="6" t="inlineStr">
        <is>
          <t>Commerces</t>
        </is>
      </c>
      <c r="E43" s="6" t="inlineStr">
        <is>
          <t>Bordeaux Euratlantique</t>
        </is>
      </c>
      <c r="F43" s="6" t="inlineStr">
        <is>
          <t>Actif Direct</t>
        </is>
      </c>
      <c r="G43" s="9" t="n">
        <v>19832</v>
      </c>
      <c r="H43" s="9" t="n">
        <v>118119392</v>
      </c>
      <c r="I43" s="19" t="n">
        <v>1549501</v>
      </c>
      <c r="J43" s="9" t="n">
        <v>588579.6061382865</v>
      </c>
      <c r="K43" s="9" t="n">
        <v>359980.2468619227</v>
      </c>
      <c r="L43" s="9" t="n">
        <v>246873.3080131886</v>
      </c>
      <c r="M43" s="9" t="n">
        <v>104048.4723801534</v>
      </c>
      <c r="N43" s="9" t="n">
        <v>199302.9171107697</v>
      </c>
      <c r="O43" s="9" t="n">
        <v>50716.44949567901</v>
      </c>
      <c r="P43" s="8" t="n">
        <v>78.13135336829367</v>
      </c>
      <c r="Q43" s="7" t="n">
        <v>1.311809156620109</v>
      </c>
      <c r="R43" s="6" t="inlineStr">
        <is>
          <t>En cours</t>
        </is>
      </c>
      <c r="S43" s="6" t="inlineStr">
        <is>
          <t>Mise aux normes sécurité incendie</t>
        </is>
      </c>
    </row>
    <row r="44">
      <c r="A44" s="6" t="inlineStr">
        <is>
          <t>LF Croissance &amp; Territoires</t>
        </is>
      </c>
      <c r="B44" s="6" t="inlineStr">
        <is>
          <t>LF -022</t>
        </is>
      </c>
      <c r="C44" s="6" t="inlineStr">
        <is>
          <t>Immeuble Lille Euralille 22</t>
        </is>
      </c>
      <c r="D44" s="6" t="inlineStr">
        <is>
          <t>Logistique</t>
        </is>
      </c>
      <c r="E44" s="6" t="inlineStr">
        <is>
          <t>Lille Euralille</t>
        </is>
      </c>
      <c r="F44" s="6" t="inlineStr">
        <is>
          <t>Actif Direct</t>
        </is>
      </c>
      <c r="G44" s="9" t="n">
        <v>23847</v>
      </c>
      <c r="H44" s="9" t="n">
        <v>115300245</v>
      </c>
      <c r="I44" s="19" t="n">
        <v>652349</v>
      </c>
      <c r="J44" s="9" t="n">
        <v>184673.6499569532</v>
      </c>
      <c r="K44" s="9" t="n">
        <v>135998.9365867832</v>
      </c>
      <c r="L44" s="9" t="n">
        <v>97835.17158376556</v>
      </c>
      <c r="M44" s="9" t="n">
        <v>64821.87324735044</v>
      </c>
      <c r="N44" s="9" t="n">
        <v>60231.13523049429</v>
      </c>
      <c r="O44" s="9" t="n">
        <v>108788.2333946533</v>
      </c>
      <c r="P44" s="8" t="n">
        <v>27.35560028515117</v>
      </c>
      <c r="Q44" s="7" t="n">
        <v>0.5657828394033335</v>
      </c>
      <c r="R44" s="6" t="inlineStr">
        <is>
          <t>En cours</t>
        </is>
      </c>
      <c r="S44" s="6" t="inlineStr">
        <is>
          <t>Remplacement système CVC</t>
        </is>
      </c>
    </row>
    <row r="45">
      <c r="A45" s="6" t="inlineStr">
        <is>
          <t>LF Croissance &amp; Territoires</t>
        </is>
      </c>
      <c r="B45" s="6" t="inlineStr">
        <is>
          <t>LF -029</t>
        </is>
      </c>
      <c r="C45" s="6" t="inlineStr">
        <is>
          <t>Immeuble Saint-Denis 29</t>
        </is>
      </c>
      <c r="D45" s="6" t="inlineStr">
        <is>
          <t>Activités</t>
        </is>
      </c>
      <c r="E45" s="6" t="inlineStr">
        <is>
          <t>Saint-Denis</t>
        </is>
      </c>
      <c r="F45" s="6" t="inlineStr">
        <is>
          <t>Actif Direct</t>
        </is>
      </c>
      <c r="G45" s="9" t="n">
        <v>17540</v>
      </c>
      <c r="H45" s="9" t="n">
        <v>106818600</v>
      </c>
      <c r="I45" s="19" t="n">
        <v>632361</v>
      </c>
      <c r="J45" s="9" t="n">
        <v>227315.6223158034</v>
      </c>
      <c r="K45" s="9" t="n">
        <v>95586.99583344089</v>
      </c>
      <c r="L45" s="9" t="n">
        <v>91928.02207441232</v>
      </c>
      <c r="M45" s="9" t="n">
        <v>34481.56639719524</v>
      </c>
      <c r="N45" s="9" t="n">
        <v>62092.15888706513</v>
      </c>
      <c r="O45" s="9" t="n">
        <v>120956.6344920831</v>
      </c>
      <c r="P45" s="8" t="n">
        <v>36.05250855188142</v>
      </c>
      <c r="Q45" s="7" t="n">
        <v>0.5919952143166078</v>
      </c>
      <c r="R45" s="6" t="inlineStr">
        <is>
          <t>En cours</t>
        </is>
      </c>
      <c r="S45" s="6" t="inlineStr">
        <is>
          <t>Rénovation énergétique - mise aux normes RT2020</t>
        </is>
      </c>
    </row>
    <row r="46"/>
    <row r="47">
      <c r="A47" s="20" t="n"/>
    </row>
    <row r="48">
      <c r="A48" s="6" t="inlineStr">
        <is>
          <t>Pierre Sélection</t>
        </is>
      </c>
      <c r="B48" s="6" t="inlineStr">
        <is>
          <t>SCI-SCI PIE Levallois-Perret 4</t>
        </is>
      </c>
      <c r="C48" s="6" t="inlineStr">
        <is>
          <t>SCI PIE Levallois-Perret 4</t>
        </is>
      </c>
      <c r="D48" s="6" t="inlineStr">
        <is>
          <t>SCI</t>
        </is>
      </c>
      <c r="E48" s="6" t="n"/>
      <c r="F48" s="6" t="inlineStr">
        <is>
          <t>SCI</t>
        </is>
      </c>
      <c r="G48" s="9" t="n">
        <v>29755</v>
      </c>
      <c r="H48" s="9" t="n">
        <v>221764015</v>
      </c>
      <c r="I48" s="19" t="n">
        <v>7899942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8" t="n">
        <v>265.4996471181314</v>
      </c>
      <c r="Q48" s="7" t="n">
        <v>3.562319161654789</v>
      </c>
      <c r="R48" s="6" t="n"/>
      <c r="S48" s="6" t="n"/>
    </row>
    <row r="49">
      <c r="A49" s="6" t="inlineStr">
        <is>
          <t>Pierre Sélection</t>
        </is>
      </c>
      <c r="B49" s="6" t="inlineStr">
        <is>
          <t>SCI-SCI PIE La Défense 5</t>
        </is>
      </c>
      <c r="C49" s="6" t="inlineStr">
        <is>
          <t>SCI PIE La Défense 5</t>
        </is>
      </c>
      <c r="D49" s="6" t="inlineStr">
        <is>
          <t>SCI</t>
        </is>
      </c>
      <c r="E49" s="6" t="n"/>
      <c r="F49" s="6" t="inlineStr">
        <is>
          <t>SCI</t>
        </is>
      </c>
      <c r="G49" s="9" t="n">
        <v>11335</v>
      </c>
      <c r="H49" s="9" t="n">
        <v>61481040</v>
      </c>
      <c r="I49" s="19" t="n">
        <v>7043997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8" t="n">
        <v>621.4377591530657</v>
      </c>
      <c r="Q49" s="7" t="n">
        <v>11.4571858250934</v>
      </c>
      <c r="R49" s="6" t="n"/>
      <c r="S49" s="6" t="n"/>
    </row>
    <row r="50">
      <c r="A50" s="6" t="inlineStr">
        <is>
          <t>Pierre Sélection</t>
        </is>
      </c>
      <c r="B50" s="6" t="inlineStr">
        <is>
          <t>SCI-SCI PIE Nice 3</t>
        </is>
      </c>
      <c r="C50" s="6" t="inlineStr">
        <is>
          <t>SCI PIE Nice 3</t>
        </is>
      </c>
      <c r="D50" s="6" t="inlineStr">
        <is>
          <t>SCI</t>
        </is>
      </c>
      <c r="E50" s="6" t="n"/>
      <c r="F50" s="6" t="inlineStr">
        <is>
          <t>SCI</t>
        </is>
      </c>
      <c r="G50" s="9" t="n">
        <v>21832</v>
      </c>
      <c r="H50" s="9" t="n">
        <v>154024760</v>
      </c>
      <c r="I50" s="19" t="n">
        <v>5690407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8" t="n">
        <v>260.6452455111763</v>
      </c>
      <c r="Q50" s="7" t="n">
        <v>3.694475485629714</v>
      </c>
      <c r="R50" s="6" t="n"/>
      <c r="S50" s="6" t="n"/>
    </row>
    <row r="51">
      <c r="A51" s="6" t="inlineStr">
        <is>
          <t>Pierre Sélection</t>
        </is>
      </c>
      <c r="B51" s="6" t="inlineStr">
        <is>
          <t>SCI-SCI PIE Lille Euralille 1</t>
        </is>
      </c>
      <c r="C51" s="6" t="inlineStr">
        <is>
          <t>SCI PIE Lille Euralille 1</t>
        </is>
      </c>
      <c r="D51" s="6" t="inlineStr">
        <is>
          <t>SCI</t>
        </is>
      </c>
      <c r="E51" s="6" t="n"/>
      <c r="F51" s="6" t="inlineStr">
        <is>
          <t>SCI</t>
        </is>
      </c>
      <c r="G51" s="9" t="n">
        <v>28488</v>
      </c>
      <c r="H51" s="9" t="n">
        <v>160216512</v>
      </c>
      <c r="I51" s="19" t="n">
        <v>5367726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8" t="n">
        <v>188.420598146588</v>
      </c>
      <c r="Q51" s="7" t="n">
        <v>3.350295130629233</v>
      </c>
      <c r="R51" s="6" t="n"/>
      <c r="S51" s="6" t="n"/>
    </row>
    <row r="52">
      <c r="A52" s="6" t="inlineStr">
        <is>
          <t>Pierre Sélection</t>
        </is>
      </c>
      <c r="B52" s="6" t="inlineStr">
        <is>
          <t>PIE-012</t>
        </is>
      </c>
      <c r="C52" s="6" t="inlineStr">
        <is>
          <t>Immeuble Boulogne-Billancourt 12</t>
        </is>
      </c>
      <c r="D52" s="6" t="inlineStr">
        <is>
          <t>Activités</t>
        </is>
      </c>
      <c r="E52" s="6" t="inlineStr">
        <is>
          <t>Boulogne-Billancourt</t>
        </is>
      </c>
      <c r="F52" s="6" t="inlineStr">
        <is>
          <t>Actif Direct</t>
        </is>
      </c>
      <c r="G52" s="9" t="n">
        <v>2669</v>
      </c>
      <c r="H52" s="9" t="n">
        <v>15424151</v>
      </c>
      <c r="I52" s="19" t="n">
        <v>3106874</v>
      </c>
      <c r="J52" s="9" t="n">
        <v>771173.5698127602</v>
      </c>
      <c r="K52" s="9" t="n">
        <v>550360.2167686722</v>
      </c>
      <c r="L52" s="9" t="n">
        <v>573778.7445499536</v>
      </c>
      <c r="M52" s="9" t="n">
        <v>364433.3092096104</v>
      </c>
      <c r="N52" s="9" t="n">
        <v>240213.802813441</v>
      </c>
      <c r="O52" s="9" t="n">
        <v>606914.3568455628</v>
      </c>
      <c r="P52" s="8" t="n">
        <v>1164.059198201574</v>
      </c>
      <c r="Q52" s="7" t="n">
        <v>20.1429174286481</v>
      </c>
      <c r="R52" s="6" t="inlineStr">
        <is>
          <t>En cours</t>
        </is>
      </c>
      <c r="S52" s="6" t="inlineStr">
        <is>
          <t>Rénovation sanitaires</t>
        </is>
      </c>
    </row>
    <row r="53">
      <c r="A53" s="6" t="inlineStr">
        <is>
          <t>Pierre Sélection</t>
        </is>
      </c>
      <c r="B53" s="6" t="inlineStr">
        <is>
          <t>PIE-011</t>
        </is>
      </c>
      <c r="C53" s="6" t="inlineStr">
        <is>
          <t>Immeuble Toulouse Blagnac 11</t>
        </is>
      </c>
      <c r="D53" s="6" t="inlineStr">
        <is>
          <t>Logistique</t>
        </is>
      </c>
      <c r="E53" s="6" t="inlineStr">
        <is>
          <t>Toulouse Blagnac</t>
        </is>
      </c>
      <c r="F53" s="6" t="inlineStr">
        <is>
          <t>Actif Direct</t>
        </is>
      </c>
      <c r="G53" s="9" t="n">
        <v>4907</v>
      </c>
      <c r="H53" s="9" t="n">
        <v>31080938</v>
      </c>
      <c r="I53" s="19" t="n">
        <v>2379504</v>
      </c>
      <c r="J53" s="9" t="n">
        <v>922264.5438804399</v>
      </c>
      <c r="K53" s="9" t="n">
        <v>458651.921884621</v>
      </c>
      <c r="L53" s="9" t="n">
        <v>325985.2467375117</v>
      </c>
      <c r="M53" s="9" t="n">
        <v>165253.6244583716</v>
      </c>
      <c r="N53" s="9" t="n">
        <v>310747.0127669546</v>
      </c>
      <c r="O53" s="9" t="n">
        <v>196601.6502721011</v>
      </c>
      <c r="P53" s="8" t="n">
        <v>484.9203179131853</v>
      </c>
      <c r="Q53" s="7" t="n">
        <v>7.655830721711165</v>
      </c>
      <c r="R53" s="6" t="inlineStr">
        <is>
          <t>Réalisé</t>
        </is>
      </c>
      <c r="S53" s="6" t="inlineStr">
        <is>
          <t>Travaux amiante et désamiantage</t>
        </is>
      </c>
    </row>
    <row r="54">
      <c r="A54" s="6" t="inlineStr">
        <is>
          <t>Pierre Sélection</t>
        </is>
      </c>
      <c r="B54" s="6" t="inlineStr">
        <is>
          <t>PIE-004</t>
        </is>
      </c>
      <c r="C54" s="6" t="inlineStr">
        <is>
          <t>Immeuble Paris 17ème 4</t>
        </is>
      </c>
      <c r="D54" s="6" t="inlineStr">
        <is>
          <t>Logistique</t>
        </is>
      </c>
      <c r="E54" s="6" t="inlineStr">
        <is>
          <t>Paris 17ème</t>
        </is>
      </c>
      <c r="F54" s="6" t="inlineStr">
        <is>
          <t>Actif Direct</t>
        </is>
      </c>
      <c r="G54" s="9" t="n">
        <v>5197</v>
      </c>
      <c r="H54" s="9" t="n">
        <v>31831625</v>
      </c>
      <c r="I54" s="19" t="n">
        <v>2339102</v>
      </c>
      <c r="J54" s="9" t="n">
        <v>988604.1783079804</v>
      </c>
      <c r="K54" s="9" t="n">
        <v>286743.665752007</v>
      </c>
      <c r="L54" s="9" t="n">
        <v>296301.9373336243</v>
      </c>
      <c r="M54" s="9" t="n">
        <v>169854.6845947372</v>
      </c>
      <c r="N54" s="9" t="n">
        <v>285381.9354236852</v>
      </c>
      <c r="O54" s="9" t="n">
        <v>312215.598587966</v>
      </c>
      <c r="P54" s="8" t="n">
        <v>450.0869732538003</v>
      </c>
      <c r="Q54" s="7" t="n">
        <v>7.34835874700082</v>
      </c>
      <c r="R54" s="6" t="inlineStr">
        <is>
          <t>Planifié</t>
        </is>
      </c>
      <c r="S54" s="6" t="inlineStr">
        <is>
          <t>Rénovation parties communes</t>
        </is>
      </c>
    </row>
    <row r="55">
      <c r="A55" s="6" t="inlineStr">
        <is>
          <t>Pierre Sélection</t>
        </is>
      </c>
      <c r="B55" s="6" t="inlineStr">
        <is>
          <t>PIE-014</t>
        </is>
      </c>
      <c r="C55" s="6" t="inlineStr">
        <is>
          <t>Immeuble Montpellier 14</t>
        </is>
      </c>
      <c r="D55" s="6" t="inlineStr">
        <is>
          <t>Bureaux</t>
        </is>
      </c>
      <c r="E55" s="6" t="inlineStr">
        <is>
          <t>Montpellier</t>
        </is>
      </c>
      <c r="F55" s="6" t="inlineStr">
        <is>
          <t>Actif Direct</t>
        </is>
      </c>
      <c r="G55" s="9" t="n">
        <v>19191</v>
      </c>
      <c r="H55" s="9" t="n">
        <v>105704028</v>
      </c>
      <c r="I55" s="19" t="n">
        <v>1675561</v>
      </c>
      <c r="J55" s="9" t="n">
        <v>683296.1705501309</v>
      </c>
      <c r="K55" s="9" t="n">
        <v>234023.9678948913</v>
      </c>
      <c r="L55" s="9" t="n">
        <v>321612.1352902658</v>
      </c>
      <c r="M55" s="9" t="n">
        <v>173903.7379127606</v>
      </c>
      <c r="N55" s="9" t="n">
        <v>84569.33965886582</v>
      </c>
      <c r="O55" s="9" t="n">
        <v>178155.6486930856</v>
      </c>
      <c r="P55" s="8" t="n">
        <v>87.30972851857642</v>
      </c>
      <c r="Q55" s="7" t="n">
        <v>1.585143945507923</v>
      </c>
      <c r="R55" s="6" t="inlineStr">
        <is>
          <t>En cours</t>
        </is>
      </c>
      <c r="S55" s="6" t="inlineStr">
        <is>
          <t>Rénovation parties communes</t>
        </is>
      </c>
    </row>
    <row r="56">
      <c r="A56" s="6" t="inlineStr">
        <is>
          <t>Pierre Sélection</t>
        </is>
      </c>
      <c r="B56" s="6" t="inlineStr">
        <is>
          <t>PIE-017</t>
        </is>
      </c>
      <c r="C56" s="6" t="inlineStr">
        <is>
          <t>Immeuble Rennes 17</t>
        </is>
      </c>
      <c r="D56" s="6" t="inlineStr">
        <is>
          <t>Commerces</t>
        </is>
      </c>
      <c r="E56" s="6" t="inlineStr">
        <is>
          <t>Rennes</t>
        </is>
      </c>
      <c r="F56" s="6" t="inlineStr">
        <is>
          <t>Actif Direct</t>
        </is>
      </c>
      <c r="G56" s="9" t="n">
        <v>7857</v>
      </c>
      <c r="H56" s="9" t="n">
        <v>37517175</v>
      </c>
      <c r="I56" s="19" t="n">
        <v>1496926</v>
      </c>
      <c r="J56" s="9" t="n">
        <v>615985.7209514624</v>
      </c>
      <c r="K56" s="9" t="n">
        <v>416232.6872966821</v>
      </c>
      <c r="L56" s="9" t="n">
        <v>240563.1228706705</v>
      </c>
      <c r="M56" s="9" t="n">
        <v>188378.8824202954</v>
      </c>
      <c r="N56" s="9" t="n">
        <v>126711.0511522653</v>
      </c>
      <c r="O56" s="9" t="n">
        <v>-90945.46469137566</v>
      </c>
      <c r="P56" s="8" t="n">
        <v>190.5213185694285</v>
      </c>
      <c r="Q56" s="7" t="n">
        <v>3.989975257998504</v>
      </c>
      <c r="R56" s="6" t="inlineStr">
        <is>
          <t>Planifié</t>
        </is>
      </c>
      <c r="S56" s="6" t="inlineStr">
        <is>
          <t>Rénovation façades et menuiseries</t>
        </is>
      </c>
    </row>
    <row r="57">
      <c r="A57" s="6" t="inlineStr">
        <is>
          <t>Pierre Sélection</t>
        </is>
      </c>
      <c r="B57" s="6" t="inlineStr">
        <is>
          <t>PIE-002</t>
        </is>
      </c>
      <c r="C57" s="6" t="inlineStr">
        <is>
          <t>Immeuble Levallois-Perret 2</t>
        </is>
      </c>
      <c r="D57" s="6" t="inlineStr">
        <is>
          <t>Bureaux</t>
        </is>
      </c>
      <c r="E57" s="6" t="inlineStr">
        <is>
          <t>Levallois-Perret</t>
        </is>
      </c>
      <c r="F57" s="6" t="inlineStr">
        <is>
          <t>Actif Direct</t>
        </is>
      </c>
      <c r="G57" s="9" t="n">
        <v>16971</v>
      </c>
      <c r="H57" s="9" t="n">
        <v>115402800</v>
      </c>
      <c r="I57" s="19" t="n">
        <v>189045</v>
      </c>
      <c r="J57" s="9" t="n">
        <v>67394.68684139078</v>
      </c>
      <c r="K57" s="9" t="n">
        <v>51572.41144275739</v>
      </c>
      <c r="L57" s="9" t="n">
        <v>33496.19078312846</v>
      </c>
      <c r="M57" s="9" t="n">
        <v>17901.62262740972</v>
      </c>
      <c r="N57" s="9" t="n">
        <v>22086.8805149067</v>
      </c>
      <c r="O57" s="9" t="n">
        <v>-3406.792209593057</v>
      </c>
      <c r="P57" s="8" t="n">
        <v>11.13929644687997</v>
      </c>
      <c r="Q57" s="7" t="n">
        <v>0.1638131830423525</v>
      </c>
      <c r="R57" s="6" t="inlineStr">
        <is>
          <t>En cours</t>
        </is>
      </c>
      <c r="S57" s="6" t="inlineStr">
        <is>
          <t>Installation panneaux solaires</t>
        </is>
      </c>
    </row>
    <row r="58"/>
    <row r="59">
      <c r="A59" s="20" t="n"/>
    </row>
    <row r="60">
      <c r="A60" s="6" t="inlineStr">
        <is>
          <t>Rivoli Avenir Patrimoine</t>
        </is>
      </c>
      <c r="B60" s="6" t="inlineStr">
        <is>
          <t>RIV-002</t>
        </is>
      </c>
      <c r="C60" s="6" t="inlineStr">
        <is>
          <t>Immeuble Saint-Denis 2</t>
        </is>
      </c>
      <c r="D60" s="6" t="inlineStr">
        <is>
          <t>Activités</t>
        </is>
      </c>
      <c r="E60" s="6" t="inlineStr">
        <is>
          <t>Saint-Denis</t>
        </is>
      </c>
      <c r="F60" s="6" t="inlineStr">
        <is>
          <t>Actif Direct</t>
        </is>
      </c>
      <c r="G60" s="9" t="n">
        <v>11355</v>
      </c>
      <c r="H60" s="9" t="n">
        <v>77316195</v>
      </c>
      <c r="I60" s="19" t="n">
        <v>3465126</v>
      </c>
      <c r="J60" s="9" t="n">
        <v>1657501.802728853</v>
      </c>
      <c r="K60" s="9" t="n">
        <v>884523.9065051351</v>
      </c>
      <c r="L60" s="9" t="n">
        <v>640927.726664201</v>
      </c>
      <c r="M60" s="9" t="n">
        <v>500370.2404120583</v>
      </c>
      <c r="N60" s="9" t="n">
        <v>205673.5536760096</v>
      </c>
      <c r="O60" s="9" t="n">
        <v>-423871.2299862581</v>
      </c>
      <c r="P60" s="8" t="n">
        <v>305.1630118890357</v>
      </c>
      <c r="Q60" s="7" t="n">
        <v>4.481759610648196</v>
      </c>
      <c r="R60" s="6" t="inlineStr">
        <is>
          <t>Planifié</t>
        </is>
      </c>
      <c r="S60" s="6" t="inlineStr">
        <is>
          <t>Remplacement système CVC</t>
        </is>
      </c>
    </row>
    <row r="61">
      <c r="A61" s="6" t="inlineStr">
        <is>
          <t>Rivoli Avenir Patrimoine</t>
        </is>
      </c>
      <c r="B61" s="6" t="inlineStr">
        <is>
          <t>RIV-006</t>
        </is>
      </c>
      <c r="C61" s="6" t="inlineStr">
        <is>
          <t>Immeuble Bordeaux Lac 6</t>
        </is>
      </c>
      <c r="D61" s="6" t="inlineStr">
        <is>
          <t>Bureaux</t>
        </is>
      </c>
      <c r="E61" s="6" t="inlineStr">
        <is>
          <t>Bordeaux Lac</t>
        </is>
      </c>
      <c r="F61" s="6" t="inlineStr">
        <is>
          <t>Actif Direct</t>
        </is>
      </c>
      <c r="G61" s="9" t="n">
        <v>19736</v>
      </c>
      <c r="H61" s="9" t="n">
        <v>148671288</v>
      </c>
      <c r="I61" s="19" t="n">
        <v>3260459</v>
      </c>
      <c r="J61" s="9" t="n">
        <v>723332.6352947368</v>
      </c>
      <c r="K61" s="9" t="n">
        <v>574566.39169079</v>
      </c>
      <c r="L61" s="9" t="n">
        <v>430861.972140138</v>
      </c>
      <c r="M61" s="9" t="n">
        <v>177401.6500845695</v>
      </c>
      <c r="N61" s="9" t="n">
        <v>317963.1349348191</v>
      </c>
      <c r="O61" s="9" t="n">
        <v>1036333.215854947</v>
      </c>
      <c r="P61" s="8" t="n">
        <v>165.2036380218889</v>
      </c>
      <c r="Q61" s="7" t="n">
        <v>2.193065684612889</v>
      </c>
      <c r="R61" s="6" t="inlineStr">
        <is>
          <t>En cours</t>
        </is>
      </c>
      <c r="S61" s="6" t="inlineStr">
        <is>
          <t>Rénovation sanitaires</t>
        </is>
      </c>
    </row>
    <row r="62">
      <c r="A62" s="6" t="inlineStr">
        <is>
          <t>Rivoli Avenir Patrimoine</t>
        </is>
      </c>
      <c r="B62" s="6" t="inlineStr">
        <is>
          <t>SCI-SCI RIV La Défense 3</t>
        </is>
      </c>
      <c r="C62" s="6" t="inlineStr">
        <is>
          <t>SCI RIV La Défense 3</t>
        </is>
      </c>
      <c r="D62" s="6" t="inlineStr">
        <is>
          <t>SCI</t>
        </is>
      </c>
      <c r="E62" s="6" t="n"/>
      <c r="F62" s="6" t="inlineStr">
        <is>
          <t>SCI</t>
        </is>
      </c>
      <c r="G62" s="9" t="n">
        <v>16411</v>
      </c>
      <c r="H62" s="9" t="n">
        <v>65561945</v>
      </c>
      <c r="I62" s="19" t="n">
        <v>3258155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8" t="n">
        <v>198.5348242032783</v>
      </c>
      <c r="Q62" s="7" t="n">
        <v>4.969582583311096</v>
      </c>
      <c r="R62" s="6" t="n"/>
      <c r="S62" s="6" t="n"/>
    </row>
    <row r="63">
      <c r="A63" s="6" t="inlineStr">
        <is>
          <t>Rivoli Avenir Patrimoine</t>
        </is>
      </c>
      <c r="B63" s="6" t="inlineStr">
        <is>
          <t>RIV-012</t>
        </is>
      </c>
      <c r="C63" s="6" t="inlineStr">
        <is>
          <t>Immeuble Rennes 12</t>
        </is>
      </c>
      <c r="D63" s="6" t="inlineStr">
        <is>
          <t>Commerces</t>
        </is>
      </c>
      <c r="E63" s="6" t="inlineStr">
        <is>
          <t>Rennes</t>
        </is>
      </c>
      <c r="F63" s="6" t="inlineStr">
        <is>
          <t>Actif Direct</t>
        </is>
      </c>
      <c r="G63" s="9" t="n">
        <v>24982</v>
      </c>
      <c r="H63" s="9" t="n">
        <v>185791134</v>
      </c>
      <c r="I63" s="19" t="n">
        <v>3216048</v>
      </c>
      <c r="J63" s="9" t="n">
        <v>695749.9338141598</v>
      </c>
      <c r="K63" s="9" t="n">
        <v>813341.1796592528</v>
      </c>
      <c r="L63" s="9" t="n">
        <v>382107.1186305635</v>
      </c>
      <c r="M63" s="9" t="n">
        <v>471489.8989606711</v>
      </c>
      <c r="N63" s="9" t="n">
        <v>466957.2801786899</v>
      </c>
      <c r="O63" s="9" t="n">
        <v>386402.5887566624</v>
      </c>
      <c r="P63" s="8" t="n">
        <v>128.7346089184213</v>
      </c>
      <c r="Q63" s="7" t="n">
        <v>1.731001867936282</v>
      </c>
      <c r="R63" s="6" t="inlineStr">
        <is>
          <t>Réalisé</t>
        </is>
      </c>
      <c r="S63" s="6" t="inlineStr">
        <is>
          <t>Mise aux normes sécurité incendie</t>
        </is>
      </c>
    </row>
    <row r="64">
      <c r="A64" s="6" t="inlineStr">
        <is>
          <t>Rivoli Avenir Patrimoine</t>
        </is>
      </c>
      <c r="B64" s="6" t="inlineStr">
        <is>
          <t>RIV-014</t>
        </is>
      </c>
      <c r="C64" s="6" t="inlineStr">
        <is>
          <t>Immeuble Bordeaux Lac 14</t>
        </is>
      </c>
      <c r="D64" s="6" t="inlineStr">
        <is>
          <t>Activités</t>
        </is>
      </c>
      <c r="E64" s="6" t="inlineStr">
        <is>
          <t>Bordeaux Lac</t>
        </is>
      </c>
      <c r="F64" s="6" t="inlineStr">
        <is>
          <t>Actif Direct</t>
        </is>
      </c>
      <c r="G64" s="9" t="n">
        <v>21917</v>
      </c>
      <c r="H64" s="9" t="n">
        <v>85783138</v>
      </c>
      <c r="I64" s="19" t="n">
        <v>3120565</v>
      </c>
      <c r="J64" s="9" t="n">
        <v>1274890.653770159</v>
      </c>
      <c r="K64" s="9" t="n">
        <v>581313.9215947547</v>
      </c>
      <c r="L64" s="9" t="n">
        <v>370821.5163186755</v>
      </c>
      <c r="M64" s="9" t="n">
        <v>279932.9603537667</v>
      </c>
      <c r="N64" s="9" t="n">
        <v>199145.1803444062</v>
      </c>
      <c r="O64" s="9" t="n">
        <v>414460.7676182378</v>
      </c>
      <c r="P64" s="8" t="n">
        <v>142.3810284254232</v>
      </c>
      <c r="Q64" s="7" t="n">
        <v>3.637737057369014</v>
      </c>
      <c r="R64" s="6" t="inlineStr">
        <is>
          <t>Planifié</t>
        </is>
      </c>
      <c r="S64" s="6" t="inlineStr">
        <is>
          <t>Installation bornes de recharge VE</t>
        </is>
      </c>
    </row>
    <row r="65">
      <c r="A65" s="6" t="inlineStr">
        <is>
          <t>Rivoli Avenir Patrimoine</t>
        </is>
      </c>
      <c r="B65" s="6" t="inlineStr">
        <is>
          <t>RIV-001</t>
        </is>
      </c>
      <c r="C65" s="6" t="inlineStr">
        <is>
          <t>Immeuble Bordeaux Lac 1</t>
        </is>
      </c>
      <c r="D65" s="6" t="inlineStr">
        <is>
          <t>Santé</t>
        </is>
      </c>
      <c r="E65" s="6" t="inlineStr">
        <is>
          <t>Bordeaux Lac</t>
        </is>
      </c>
      <c r="F65" s="6" t="inlineStr">
        <is>
          <t>Actif Direct</t>
        </is>
      </c>
      <c r="G65" s="9" t="n">
        <v>4454</v>
      </c>
      <c r="H65" s="9" t="n">
        <v>33511896</v>
      </c>
      <c r="I65" s="19" t="n">
        <v>2875000</v>
      </c>
      <c r="J65" s="9" t="n">
        <v>1239778.584325039</v>
      </c>
      <c r="K65" s="9" t="n">
        <v>614315.028580812</v>
      </c>
      <c r="L65" s="9" t="n">
        <v>307204.2209837977</v>
      </c>
      <c r="M65" s="9" t="n">
        <v>363457.6844311339</v>
      </c>
      <c r="N65" s="9" t="n">
        <v>341813.111395513</v>
      </c>
      <c r="O65" s="9" t="n">
        <v>8431.370283703665</v>
      </c>
      <c r="P65" s="8" t="n">
        <v>645.4872025145936</v>
      </c>
      <c r="Q65" s="7" t="n">
        <v>8.579043095621925</v>
      </c>
      <c r="R65" s="6" t="inlineStr">
        <is>
          <t>Réalisé</t>
        </is>
      </c>
      <c r="S65" s="6" t="inlineStr">
        <is>
          <t>Remplacement système CVC</t>
        </is>
      </c>
    </row>
    <row r="66">
      <c r="A66" s="6" t="inlineStr">
        <is>
          <t>Rivoli Avenir Patrimoine</t>
        </is>
      </c>
      <c r="B66" s="6" t="inlineStr">
        <is>
          <t>RIV-020</t>
        </is>
      </c>
      <c r="C66" s="6" t="inlineStr">
        <is>
          <t>Immeuble Levallois-Perret 20</t>
        </is>
      </c>
      <c r="D66" s="6" t="inlineStr">
        <is>
          <t>Bureaux</t>
        </is>
      </c>
      <c r="E66" s="6" t="inlineStr">
        <is>
          <t>Levallois-Perret</t>
        </is>
      </c>
      <c r="F66" s="6" t="inlineStr">
        <is>
          <t>Actif Direct</t>
        </is>
      </c>
      <c r="G66" s="9" t="n">
        <v>14476</v>
      </c>
      <c r="H66" s="9" t="n">
        <v>44166276</v>
      </c>
      <c r="I66" s="19" t="n">
        <v>2612760</v>
      </c>
      <c r="J66" s="9" t="n">
        <v>538472.4031236947</v>
      </c>
      <c r="K66" s="9" t="n">
        <v>638334.9955866032</v>
      </c>
      <c r="L66" s="9" t="n">
        <v>316718.2312740693</v>
      </c>
      <c r="M66" s="9" t="n">
        <v>184488.1949482551</v>
      </c>
      <c r="N66" s="9" t="n">
        <v>193733.5208603585</v>
      </c>
      <c r="O66" s="9" t="n">
        <v>741012.654207019</v>
      </c>
      <c r="P66" s="8" t="n">
        <v>180.4890853827024</v>
      </c>
      <c r="Q66" s="7" t="n">
        <v>5.915735345221318</v>
      </c>
      <c r="R66" s="6" t="inlineStr">
        <is>
          <t>Planifié</t>
        </is>
      </c>
      <c r="S66" s="6" t="inlineStr">
        <is>
          <t>Remplacement système CVC</t>
        </is>
      </c>
    </row>
    <row r="67">
      <c r="A67" s="6" t="inlineStr">
        <is>
          <t>Rivoli Avenir Patrimoine</t>
        </is>
      </c>
      <c r="B67" s="6" t="inlineStr">
        <is>
          <t>RIV-017</t>
        </is>
      </c>
      <c r="C67" s="6" t="inlineStr">
        <is>
          <t>Immeuble Toulouse Labège 17</t>
        </is>
      </c>
      <c r="D67" s="6" t="inlineStr">
        <is>
          <t>Activités</t>
        </is>
      </c>
      <c r="E67" s="6" t="inlineStr">
        <is>
          <t>Toulouse Labège</t>
        </is>
      </c>
      <c r="F67" s="6" t="inlineStr">
        <is>
          <t>Actif Direct</t>
        </is>
      </c>
      <c r="G67" s="9" t="n">
        <v>20172</v>
      </c>
      <c r="H67" s="9" t="n">
        <v>66103644</v>
      </c>
      <c r="I67" s="19" t="n">
        <v>2420104</v>
      </c>
      <c r="J67" s="9" t="n">
        <v>494601.6272876734</v>
      </c>
      <c r="K67" s="9" t="n">
        <v>410831.2162758016</v>
      </c>
      <c r="L67" s="9" t="n">
        <v>302452.2553757212</v>
      </c>
      <c r="M67" s="9" t="n">
        <v>315119.3132722339</v>
      </c>
      <c r="N67" s="9" t="n">
        <v>317827.3672209312</v>
      </c>
      <c r="O67" s="9" t="n">
        <v>579272.220567639</v>
      </c>
      <c r="P67" s="8" t="n">
        <v>119.9734285147729</v>
      </c>
      <c r="Q67" s="7" t="n">
        <v>3.661075023337594</v>
      </c>
      <c r="R67" s="6" t="inlineStr">
        <is>
          <t>En cours</t>
        </is>
      </c>
      <c r="S67" s="6" t="inlineStr">
        <is>
          <t>Réaménagement plateaux de bureaux</t>
        </is>
      </c>
    </row>
    <row r="68">
      <c r="A68" s="6" t="inlineStr">
        <is>
          <t>Rivoli Avenir Patrimoine</t>
        </is>
      </c>
      <c r="B68" s="6" t="inlineStr">
        <is>
          <t>RIV-018</t>
        </is>
      </c>
      <c r="C68" s="6" t="inlineStr">
        <is>
          <t>Immeuble Paris 8ème 18</t>
        </is>
      </c>
      <c r="D68" s="6" t="inlineStr">
        <is>
          <t>Logistique</t>
        </is>
      </c>
      <c r="E68" s="6" t="inlineStr">
        <is>
          <t>Paris 8ème</t>
        </is>
      </c>
      <c r="F68" s="6" t="inlineStr">
        <is>
          <t>Actif Direct</t>
        </is>
      </c>
      <c r="G68" s="9" t="n">
        <v>20489</v>
      </c>
      <c r="H68" s="9" t="n">
        <v>104555367</v>
      </c>
      <c r="I68" s="19" t="n">
        <v>2405436</v>
      </c>
      <c r="J68" s="9" t="n">
        <v>1058018.830130718</v>
      </c>
      <c r="K68" s="9" t="n">
        <v>297133.7857900577</v>
      </c>
      <c r="L68" s="9" t="n">
        <v>427977.2808899925</v>
      </c>
      <c r="M68" s="9" t="n">
        <v>129577.7593769317</v>
      </c>
      <c r="N68" s="9" t="n">
        <v>206386.2162334511</v>
      </c>
      <c r="O68" s="9" t="n">
        <v>286342.127578849</v>
      </c>
      <c r="P68" s="8" t="n">
        <v>117.401337302943</v>
      </c>
      <c r="Q68" s="7" t="n">
        <v>2.300633692003587</v>
      </c>
      <c r="R68" s="6" t="inlineStr">
        <is>
          <t>Planifié</t>
        </is>
      </c>
      <c r="S68" s="6" t="inlineStr">
        <is>
          <t>Travaux amiante et désamiantage</t>
        </is>
      </c>
    </row>
    <row r="69">
      <c r="A69" s="6" t="inlineStr">
        <is>
          <t>Rivoli Avenir Patrimoine</t>
        </is>
      </c>
      <c r="B69" s="6" t="inlineStr">
        <is>
          <t>RIV-019</t>
        </is>
      </c>
      <c r="C69" s="6" t="inlineStr">
        <is>
          <t>Immeuble Toulouse Blagnac 19</t>
        </is>
      </c>
      <c r="D69" s="6" t="inlineStr">
        <is>
          <t>Bureaux</t>
        </is>
      </c>
      <c r="E69" s="6" t="inlineStr">
        <is>
          <t>Toulouse Blagnac</t>
        </is>
      </c>
      <c r="F69" s="6" t="inlineStr">
        <is>
          <t>Actif Direct</t>
        </is>
      </c>
      <c r="G69" s="9" t="n">
        <v>17616</v>
      </c>
      <c r="H69" s="9" t="n">
        <v>140188128</v>
      </c>
      <c r="I69" s="19" t="n">
        <v>1079103</v>
      </c>
      <c r="J69" s="9" t="n">
        <v>488470.6143209309</v>
      </c>
      <c r="K69" s="9" t="n">
        <v>185259.5473865577</v>
      </c>
      <c r="L69" s="9" t="n">
        <v>214839.7947354405</v>
      </c>
      <c r="M69" s="9" t="n">
        <v>58929.31619260201</v>
      </c>
      <c r="N69" s="9" t="n">
        <v>69624.40686883735</v>
      </c>
      <c r="O69" s="9" t="n">
        <v>61979.32049563154</v>
      </c>
      <c r="P69" s="8" t="n">
        <v>61.25698228882834</v>
      </c>
      <c r="Q69" s="7" t="n">
        <v>0.7697534844034725</v>
      </c>
      <c r="R69" s="6" t="inlineStr">
        <is>
          <t>Réalisé</t>
        </is>
      </c>
      <c r="S69" s="6" t="inlineStr">
        <is>
          <t>Création espaces verts et terrasses</t>
        </is>
      </c>
    </row>
    <row r="70">
      <c r="A70" s="6" t="inlineStr">
        <is>
          <t>Rivoli Avenir Patrimoine</t>
        </is>
      </c>
      <c r="B70" s="6" t="inlineStr">
        <is>
          <t>RIV-009</t>
        </is>
      </c>
      <c r="C70" s="6" t="inlineStr">
        <is>
          <t>Immeuble Montpellier 9</t>
        </is>
      </c>
      <c r="D70" s="6" t="inlineStr">
        <is>
          <t>Santé</t>
        </is>
      </c>
      <c r="E70" s="6" t="inlineStr">
        <is>
          <t>Montpellier</t>
        </is>
      </c>
      <c r="F70" s="6" t="inlineStr">
        <is>
          <t>Actif Direct</t>
        </is>
      </c>
      <c r="G70" s="9" t="n">
        <v>8861</v>
      </c>
      <c r="H70" s="9" t="n">
        <v>32661646</v>
      </c>
      <c r="I70" s="19" t="n">
        <v>793483</v>
      </c>
      <c r="J70" s="9" t="n">
        <v>364852.8939790517</v>
      </c>
      <c r="K70" s="9" t="n">
        <v>90107.04530634751</v>
      </c>
      <c r="L70" s="9" t="n">
        <v>104864.7207098907</v>
      </c>
      <c r="M70" s="9" t="n">
        <v>90001.71075690059</v>
      </c>
      <c r="N70" s="9" t="n">
        <v>58565.63520810388</v>
      </c>
      <c r="O70" s="9" t="n">
        <v>85090.99403970559</v>
      </c>
      <c r="P70" s="8" t="n">
        <v>89.54779370274235</v>
      </c>
      <c r="Q70" s="7" t="n">
        <v>2.429402976200281</v>
      </c>
      <c r="R70" s="6" t="inlineStr">
        <is>
          <t>Planifié</t>
        </is>
      </c>
      <c r="S70" s="6" t="inlineStr">
        <is>
          <t>Rénovation sanitaires</t>
        </is>
      </c>
    </row>
    <row r="71">
      <c r="A71" s="6" t="inlineStr">
        <is>
          <t>Rivoli Avenir Patrimoine</t>
        </is>
      </c>
      <c r="B71" s="6" t="inlineStr">
        <is>
          <t>RIV-008</t>
        </is>
      </c>
      <c r="C71" s="6" t="inlineStr">
        <is>
          <t>Immeuble Paris 8ème 8</t>
        </is>
      </c>
      <c r="D71" s="6" t="inlineStr">
        <is>
          <t>Bureaux</t>
        </is>
      </c>
      <c r="E71" s="6" t="inlineStr">
        <is>
          <t>Paris 8ème</t>
        </is>
      </c>
      <c r="F71" s="6" t="inlineStr">
        <is>
          <t>Actif Direct</t>
        </is>
      </c>
      <c r="G71" s="9" t="n">
        <v>20936</v>
      </c>
      <c r="H71" s="9" t="n">
        <v>86444744</v>
      </c>
      <c r="I71" s="19" t="n">
        <v>538169</v>
      </c>
      <c r="J71" s="9" t="n">
        <v>253586.8535101614</v>
      </c>
      <c r="K71" s="9" t="n">
        <v>113338.1012871171</v>
      </c>
      <c r="L71" s="9" t="n">
        <v>65429.92242469641</v>
      </c>
      <c r="M71" s="9" t="n">
        <v>65632.52576508676</v>
      </c>
      <c r="N71" s="9" t="n">
        <v>72407.11612007458</v>
      </c>
      <c r="O71" s="9" t="n">
        <v>-32225.51910713623</v>
      </c>
      <c r="P71" s="8" t="n">
        <v>25.70543561329767</v>
      </c>
      <c r="Q71" s="7" t="n">
        <v>0.6225583824969161</v>
      </c>
      <c r="R71" s="6" t="inlineStr">
        <is>
          <t>Planifié</t>
        </is>
      </c>
      <c r="S71" s="6" t="inlineStr">
        <is>
          <t>Amélioration performance thermique</t>
        </is>
      </c>
    </row>
    <row r="72">
      <c r="A72" s="6" t="inlineStr">
        <is>
          <t>Rivoli Avenir Patrimoine</t>
        </is>
      </c>
      <c r="B72" s="6" t="inlineStr">
        <is>
          <t>RIV-016</t>
        </is>
      </c>
      <c r="C72" s="6" t="inlineStr">
        <is>
          <t>Immeuble Aix-en-Provence 16</t>
        </is>
      </c>
      <c r="D72" s="6" t="inlineStr">
        <is>
          <t>Santé</t>
        </is>
      </c>
      <c r="E72" s="6" t="inlineStr">
        <is>
          <t>Aix-en-Provence</t>
        </is>
      </c>
      <c r="F72" s="6" t="inlineStr">
        <is>
          <t>Actif Direct</t>
        </is>
      </c>
      <c r="G72" s="9" t="n">
        <v>14265</v>
      </c>
      <c r="H72" s="9" t="n">
        <v>67958460</v>
      </c>
      <c r="I72" s="19" t="n">
        <v>479193</v>
      </c>
      <c r="J72" s="9" t="n">
        <v>197184.9426974741</v>
      </c>
      <c r="K72" s="9" t="n">
        <v>65417.18377729815</v>
      </c>
      <c r="L72" s="9" t="n">
        <v>79570.53987481663</v>
      </c>
      <c r="M72" s="9" t="n">
        <v>43451.19100970637</v>
      </c>
      <c r="N72" s="9" t="n">
        <v>43002.62499419356</v>
      </c>
      <c r="O72" s="9" t="n">
        <v>50566.51764651111</v>
      </c>
      <c r="P72" s="8" t="n">
        <v>33.59221871713985</v>
      </c>
      <c r="Q72" s="7" t="n">
        <v>0.7051263374714495</v>
      </c>
      <c r="R72" s="6" t="inlineStr">
        <is>
          <t>Planifié</t>
        </is>
      </c>
      <c r="S72" s="6" t="inlineStr">
        <is>
          <t>Mise aux normes sécurité incendie</t>
        </is>
      </c>
    </row>
    <row r="73">
      <c r="A73" s="6" t="inlineStr">
        <is>
          <t>Rivoli Avenir Patrimoine</t>
        </is>
      </c>
      <c r="B73" s="6" t="inlineStr">
        <is>
          <t>RIV-003</t>
        </is>
      </c>
      <c r="C73" s="6" t="inlineStr">
        <is>
          <t>Immeuble Boulogne-Billancourt 3</t>
        </is>
      </c>
      <c r="D73" s="6" t="inlineStr">
        <is>
          <t>Bureaux</t>
        </is>
      </c>
      <c r="E73" s="6" t="inlineStr">
        <is>
          <t>Boulogne-Billancourt</t>
        </is>
      </c>
      <c r="F73" s="6" t="inlineStr">
        <is>
          <t>Actif Direct</t>
        </is>
      </c>
      <c r="G73" s="9" t="n">
        <v>9653</v>
      </c>
      <c r="H73" s="9" t="n">
        <v>53873393</v>
      </c>
      <c r="I73" s="19" t="n">
        <v>459785</v>
      </c>
      <c r="J73" s="9" t="n">
        <v>207738.2141372922</v>
      </c>
      <c r="K73" s="9" t="n">
        <v>126928.3259090388</v>
      </c>
      <c r="L73" s="9" t="n">
        <v>86344.33143487744</v>
      </c>
      <c r="M73" s="9" t="n">
        <v>47872.57194252702</v>
      </c>
      <c r="N73" s="9" t="n">
        <v>25761.00654679351</v>
      </c>
      <c r="O73" s="9" t="n">
        <v>-34859.44997052903</v>
      </c>
      <c r="P73" s="8" t="n">
        <v>47.63130632963846</v>
      </c>
      <c r="Q73" s="7" t="n">
        <v>0.8534546914466664</v>
      </c>
      <c r="R73" s="6" t="inlineStr">
        <is>
          <t>En cours</t>
        </is>
      </c>
      <c r="S73" s="6" t="inlineStr">
        <is>
          <t>Réfection toiture et étanchéité</t>
        </is>
      </c>
    </row>
    <row r="74">
      <c r="A74" s="6" t="inlineStr">
        <is>
          <t>Rivoli Avenir Patrimoine</t>
        </is>
      </c>
      <c r="B74" s="6" t="inlineStr">
        <is>
          <t>RIV-005</t>
        </is>
      </c>
      <c r="C74" s="6" t="inlineStr">
        <is>
          <t>Immeuble Lyon Confluence 5</t>
        </is>
      </c>
      <c r="D74" s="6" t="inlineStr">
        <is>
          <t>Commerces</t>
        </is>
      </c>
      <c r="E74" s="6" t="inlineStr">
        <is>
          <t>Lyon Confluence</t>
        </is>
      </c>
      <c r="F74" s="6" t="inlineStr">
        <is>
          <t>Actif Direct</t>
        </is>
      </c>
      <c r="G74" s="9" t="n">
        <v>14528</v>
      </c>
      <c r="H74" s="9" t="n">
        <v>66378432</v>
      </c>
      <c r="I74" s="19" t="n">
        <v>411921</v>
      </c>
      <c r="J74" s="9" t="n">
        <v>160597.7260078955</v>
      </c>
      <c r="K74" s="9" t="n">
        <v>56361.08491868855</v>
      </c>
      <c r="L74" s="9" t="n">
        <v>64147.03890165249</v>
      </c>
      <c r="M74" s="9" t="n">
        <v>26886.97977339039</v>
      </c>
      <c r="N74" s="9" t="n">
        <v>45583.53013451768</v>
      </c>
      <c r="O74" s="9" t="n">
        <v>58344.6402638554</v>
      </c>
      <c r="P74" s="8" t="n">
        <v>28.35359306167401</v>
      </c>
      <c r="Q74" s="7" t="n">
        <v>0.6205645231270301</v>
      </c>
      <c r="R74" s="6" t="inlineStr">
        <is>
          <t>Planifié</t>
        </is>
      </c>
      <c r="S74" s="6" t="inlineStr">
        <is>
          <t>Mise en conformité accessibilité PMR</t>
        </is>
      </c>
    </row>
    <row r="75"/>
    <row r="76">
      <c r="A76" s="21" t="inlineStr">
        <is>
          <t>TOTAL GÉNÉRAL</t>
        </is>
      </c>
      <c r="I76" s="22">
        <f>SUM(I4:I74)</f>
        <v/>
      </c>
      <c r="J76" s="23">
        <f>SUM(J4:J74)</f>
        <v/>
      </c>
      <c r="K76" s="23">
        <f>SUM(K4:K74)</f>
        <v/>
      </c>
      <c r="L76" s="23">
        <f>SUM(L4:L74)</f>
        <v/>
      </c>
      <c r="M76" s="23">
        <f>SUM(M4:M74)</f>
        <v/>
      </c>
      <c r="N76" s="23">
        <f>SUM(N4:N74)</f>
        <v/>
      </c>
      <c r="O76" s="23">
        <f>SUM(O4:O74)</f>
        <v/>
      </c>
    </row>
  </sheetData>
  <mergeCells count="5">
    <mergeCell ref="A47:S47"/>
    <mergeCell ref="A32:S32"/>
    <mergeCell ref="A59:S59"/>
    <mergeCell ref="A20:S20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19" customWidth="1" min="5" max="5"/>
    <col width="20" customWidth="1" min="6" max="6"/>
    <col width="20" customWidth="1" min="7" max="7"/>
    <col width="20" customWidth="1" min="8" max="8"/>
    <col width="16" customWidth="1" min="9" max="9"/>
    <col width="8" customWidth="1" min="10" max="10"/>
    <col width="9" customWidth="1" min="11" max="11"/>
    <col width="20" customWidth="1" min="12" max="12"/>
    <col width="19" customWidth="1" min="13" max="13"/>
    <col width="20" customWidth="1" min="14" max="14"/>
    <col width="13" customWidth="1" min="15" max="15"/>
    <col width="8" customWidth="1" min="16" max="16"/>
  </cols>
  <sheetData>
    <row r="1">
      <c r="A1" s="18" t="inlineStr">
        <is>
          <t>📊 SYNTHÈSE CAPEX PAR SCPI</t>
        </is>
      </c>
    </row>
    <row r="2"/>
    <row r="3">
      <c r="A3" s="14" t="inlineStr">
        <is>
          <t>SCPI</t>
        </is>
      </c>
      <c r="B3" s="14" t="inlineStr">
        <is>
          <t>CAPEX Total €</t>
        </is>
      </c>
      <c r="C3" s="14" t="inlineStr">
        <is>
          <t>CAPEX Directs €</t>
        </is>
      </c>
      <c r="D3" s="14" t="inlineStr">
        <is>
          <t>CAPEX SCI €</t>
        </is>
      </c>
      <c r="E3" s="14" t="inlineStr">
        <is>
          <t>Nb Actifs</t>
        </is>
      </c>
      <c r="F3" s="14" t="inlineStr">
        <is>
          <t>Nb avec CAPEX</t>
        </is>
      </c>
      <c r="G3" s="14" t="inlineStr">
        <is>
          <t>% avec CAPEX</t>
        </is>
      </c>
      <c r="H3" s="14" t="inlineStr">
        <is>
          <t>CAPEX Moyen €</t>
        </is>
      </c>
      <c r="I3" s="14" t="inlineStr">
        <is>
          <t>CAPEX Médian €</t>
        </is>
      </c>
      <c r="J3" s="14" t="inlineStr">
        <is>
          <t>Min €</t>
        </is>
      </c>
      <c r="K3" s="14" t="inlineStr">
        <is>
          <t>Max €</t>
        </is>
      </c>
      <c r="L3" s="14" t="inlineStr">
        <is>
          <t>CAPEX/VV %</t>
        </is>
      </c>
      <c r="M3" s="14" t="inlineStr">
        <is>
          <t>CAPEX/m² €</t>
        </is>
      </c>
      <c r="N3" s="14" t="inlineStr">
        <is>
          <t>CAPEX/Loyers %</t>
        </is>
      </c>
      <c r="O3" s="14" t="inlineStr">
        <is>
          <t>Surface m²</t>
        </is>
      </c>
    </row>
    <row r="4">
      <c r="A4" s="6" t="inlineStr">
        <is>
          <t>Rivoli Avenir Patrimoine</t>
        </is>
      </c>
      <c r="B4" s="24" t="n">
        <v>30395307</v>
      </c>
      <c r="C4" s="9" t="n">
        <v>27137152</v>
      </c>
      <c r="D4" s="9" t="n">
        <v>3258155</v>
      </c>
      <c r="E4" s="6" t="n">
        <v>22</v>
      </c>
      <c r="F4" s="6" t="n">
        <v>14</v>
      </c>
      <c r="G4" s="7" t="n">
        <v>63.63636363636363</v>
      </c>
      <c r="H4" s="9" t="n">
        <v>2026353.8</v>
      </c>
      <c r="I4" s="9" t="n">
        <v>2420104</v>
      </c>
      <c r="J4" s="9" t="n">
        <v>411921</v>
      </c>
      <c r="K4" s="9" t="n">
        <v>3465126</v>
      </c>
      <c r="L4" s="7" t="n">
        <v>1.146992716981132</v>
      </c>
      <c r="M4" s="7" t="n">
        <v>62.67073608247423</v>
      </c>
      <c r="N4" s="7" t="n">
        <v>19.23753607594936</v>
      </c>
      <c r="O4" s="9" t="n">
        <v>239851</v>
      </c>
    </row>
    <row r="5">
      <c r="A5" s="6" t="inlineStr">
        <is>
          <t>LF Croissance &amp; Territoires</t>
        </is>
      </c>
      <c r="B5" s="24" t="n">
        <v>37709703</v>
      </c>
      <c r="C5" s="9" t="n">
        <v>22772543</v>
      </c>
      <c r="D5" s="9" t="n">
        <v>14937160</v>
      </c>
      <c r="E5" s="6" t="n">
        <v>30</v>
      </c>
      <c r="F5" s="6" t="n">
        <v>10</v>
      </c>
      <c r="G5" s="7" t="n">
        <v>33.33333333333333</v>
      </c>
      <c r="H5" s="9" t="n">
        <v>2900746.384615385</v>
      </c>
      <c r="I5" s="9" t="n">
        <v>2789694</v>
      </c>
      <c r="J5" s="9" t="n">
        <v>632361</v>
      </c>
      <c r="K5" s="9" t="n">
        <v>6453732</v>
      </c>
      <c r="L5" s="7" t="n">
        <v>4.436435647058824</v>
      </c>
      <c r="M5" s="7" t="n">
        <v>193.3830923076923</v>
      </c>
      <c r="N5" s="7" t="n">
        <v>72.51865961538462</v>
      </c>
      <c r="O5" s="9" t="n">
        <v>209136</v>
      </c>
    </row>
    <row r="6">
      <c r="A6" s="6" t="inlineStr">
        <is>
          <t>Atout Pierre Diversification</t>
        </is>
      </c>
      <c r="B6" s="24" t="n">
        <v>22400000</v>
      </c>
      <c r="C6" s="9" t="n">
        <v>15814556</v>
      </c>
      <c r="D6" s="9" t="n">
        <v>1656935</v>
      </c>
      <c r="E6" s="6" t="n">
        <v>28</v>
      </c>
      <c r="F6" s="6" t="n">
        <v>9</v>
      </c>
      <c r="G6" s="7" t="n">
        <v>32.14285714285715</v>
      </c>
      <c r="H6" s="9" t="n">
        <v>1747149.1</v>
      </c>
      <c r="I6" s="9" t="n">
        <v>1681882</v>
      </c>
      <c r="J6" s="9" t="n">
        <v>354255</v>
      </c>
      <c r="K6" s="9" t="n">
        <v>3287021</v>
      </c>
      <c r="L6" s="7" t="n">
        <v>2.133333333333333</v>
      </c>
      <c r="M6" s="7" t="n">
        <v>78.59649122807018</v>
      </c>
      <c r="N6" s="7" t="n">
        <v>32.94117647058823</v>
      </c>
      <c r="O6" s="9" t="n">
        <v>130211</v>
      </c>
    </row>
    <row r="7">
      <c r="A7" s="6" t="inlineStr">
        <is>
          <t>Aestiam Placement Pierre</t>
        </is>
      </c>
      <c r="B7" s="24" t="n">
        <v>34404602</v>
      </c>
      <c r="C7" s="9" t="n">
        <v>18174842</v>
      </c>
      <c r="D7" s="9" t="n">
        <v>16229760</v>
      </c>
      <c r="E7" s="6" t="n">
        <v>29</v>
      </c>
      <c r="F7" s="6" t="n">
        <v>11</v>
      </c>
      <c r="G7" s="7" t="n">
        <v>37.93103448275862</v>
      </c>
      <c r="H7" s="9" t="n">
        <v>2293640.133333333</v>
      </c>
      <c r="I7" s="9" t="n">
        <v>2108655</v>
      </c>
      <c r="J7" s="9" t="n">
        <v>289795</v>
      </c>
      <c r="K7" s="9" t="n">
        <v>6575634</v>
      </c>
      <c r="L7" s="7" t="n">
        <v>6.616269615384615</v>
      </c>
      <c r="M7" s="7" t="n">
        <v>237.2731172413793</v>
      </c>
      <c r="N7" s="7" t="n">
        <v>90.53842631578948</v>
      </c>
      <c r="O7" s="9" t="n">
        <v>217190</v>
      </c>
    </row>
    <row r="8">
      <c r="A8" s="6" t="inlineStr">
        <is>
          <t>Pierre Sélection</t>
        </is>
      </c>
      <c r="B8" s="24" t="n">
        <v>37189084</v>
      </c>
      <c r="C8" s="9" t="n">
        <v>11187012</v>
      </c>
      <c r="D8" s="9" t="n">
        <v>26002072</v>
      </c>
      <c r="E8" s="6" t="n">
        <v>17</v>
      </c>
      <c r="F8" s="6" t="n">
        <v>6</v>
      </c>
      <c r="G8" s="7" t="n">
        <v>35.29411764705883</v>
      </c>
      <c r="H8" s="9" t="n">
        <v>3718908.4</v>
      </c>
      <c r="I8" s="9" t="n">
        <v>2743189</v>
      </c>
      <c r="J8" s="9" t="n">
        <v>189045</v>
      </c>
      <c r="K8" s="9" t="n">
        <v>7899942</v>
      </c>
      <c r="L8" s="7" t="n">
        <v>2.69486115942029</v>
      </c>
      <c r="M8" s="7" t="n">
        <v>165.2848177777778</v>
      </c>
      <c r="N8" s="7" t="n">
        <v>45.35254146341464</v>
      </c>
      <c r="O8" s="9" t="n">
        <v>148202</v>
      </c>
    </row>
    <row r="9">
      <c r="A9" s="4" t="inlineStr">
        <is>
          <t>TOTAL</t>
        </is>
      </c>
      <c r="B9" s="23">
        <f>SUM(B4:B8)</f>
        <v/>
      </c>
      <c r="C9" s="23">
        <f>SUM(C4:C8)</f>
        <v/>
      </c>
      <c r="D9" s="23">
        <f>SUM(D4:D8)</f>
        <v/>
      </c>
      <c r="E9" s="23">
        <f>SUM(E4:E8)</f>
        <v/>
      </c>
      <c r="F9" s="23">
        <f>SUM(F4:F8)</f>
        <v/>
      </c>
      <c r="O9" s="23">
        <f>SUM(O4:O8)</f>
        <v/>
      </c>
    </row>
    <row r="10"/>
    <row r="11"/>
    <row r="12">
      <c r="A12" s="3" t="inlineStr">
        <is>
          <t>📋 VENTILATION PAR TYPE DE TRAVAUX</t>
        </is>
      </c>
    </row>
    <row r="13">
      <c r="A13" s="5" t="inlineStr">
        <is>
          <t>SCPI</t>
        </is>
      </c>
      <c r="B13" s="5" t="inlineStr">
        <is>
          <t>Rénovation %</t>
        </is>
      </c>
      <c r="C13" s="5" t="inlineStr">
        <is>
          <t>Gros Entretien %</t>
        </is>
      </c>
      <c r="D13" s="5" t="inlineStr">
        <is>
          <t>Conformité %</t>
        </is>
      </c>
      <c r="E13" s="5" t="inlineStr">
        <is>
          <t>Environnemental %</t>
        </is>
      </c>
      <c r="F13" s="5" t="inlineStr">
        <is>
          <t>Amélioration %</t>
        </is>
      </c>
      <c r="G13" s="5" t="inlineStr">
        <is>
          <t>Autres %</t>
        </is>
      </c>
    </row>
    <row r="14">
      <c r="A14" s="6" t="inlineStr">
        <is>
          <t>Rivoli Avenir Patrimoine</t>
        </is>
      </c>
      <c r="B14" s="25" t="n">
        <v>30.77704632207808</v>
      </c>
      <c r="C14" s="25" t="n">
        <v>17.93622849168214</v>
      </c>
      <c r="D14" s="25" t="n">
        <v>12.48306743655701</v>
      </c>
      <c r="E14" s="25" t="n">
        <v>9.062622717644645</v>
      </c>
      <c r="F14" s="25" t="n">
        <v>8.436972473140999</v>
      </c>
      <c r="G14" s="25" t="n">
        <v>10.58479264002445</v>
      </c>
    </row>
    <row r="15">
      <c r="A15" s="6" t="inlineStr">
        <is>
          <t>LF Croissance &amp; Territoires</t>
        </is>
      </c>
      <c r="B15" s="25" t="n">
        <v>22.46747070255423</v>
      </c>
      <c r="C15" s="25" t="n">
        <v>10.64803271940728</v>
      </c>
      <c r="D15" s="25" t="n">
        <v>8.026910160800449</v>
      </c>
      <c r="E15" s="25" t="n">
        <v>5.622686664307887</v>
      </c>
      <c r="F15" s="25" t="n">
        <v>6.298669429551826</v>
      </c>
      <c r="G15" s="25" t="n">
        <v>7.325311085960839</v>
      </c>
    </row>
    <row r="16">
      <c r="A16" s="6" t="inlineStr">
        <is>
          <t>Atout Pierre Diversification</t>
        </is>
      </c>
      <c r="B16" s="25" t="n">
        <v>24.61702064748202</v>
      </c>
      <c r="C16" s="25" t="n">
        <v>15.09184648443414</v>
      </c>
      <c r="D16" s="25" t="n">
        <v>10.80106049205473</v>
      </c>
      <c r="E16" s="25" t="n">
        <v>7.607038639775913</v>
      </c>
      <c r="F16" s="25" t="n">
        <v>8.169977703510021</v>
      </c>
      <c r="G16" s="25" t="n">
        <v>4.313752461314604</v>
      </c>
    </row>
    <row r="17">
      <c r="A17" s="6" t="inlineStr">
        <is>
          <t>Aestiam Placement Pierre</t>
        </is>
      </c>
      <c r="B17" s="25" t="n">
        <v>18.86759113520751</v>
      </c>
      <c r="C17" s="25" t="n">
        <v>9.408587178404062</v>
      </c>
      <c r="D17" s="25" t="n">
        <v>7.630826533291287</v>
      </c>
      <c r="E17" s="25" t="n">
        <v>5.060830769576612</v>
      </c>
      <c r="F17" s="25" t="n">
        <v>4.616837682157729</v>
      </c>
      <c r="G17" s="25" t="n">
        <v>7.242102607679055</v>
      </c>
    </row>
    <row r="18">
      <c r="A18" s="6" t="inlineStr">
        <is>
          <t>Pierre Sélection</t>
        </is>
      </c>
      <c r="B18" s="25" t="n">
        <v>10.88684752317149</v>
      </c>
      <c r="C18" s="25" t="n">
        <v>5.371428000322974</v>
      </c>
      <c r="D18" s="25" t="n">
        <v>4.817912099058837</v>
      </c>
      <c r="E18" s="25" t="n">
        <v>2.903340833087432</v>
      </c>
      <c r="F18" s="25" t="n">
        <v>2.876408631979531</v>
      </c>
      <c r="G18" s="25" t="n">
        <v>3.225502939243534</v>
      </c>
    </row>
  </sheetData>
  <mergeCells count="2">
    <mergeCell ref="A1:P1"/>
    <mergeCell ref="A12:G1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50" customWidth="1" min="4" max="4"/>
    <col width="13" customWidth="1" min="5" max="5"/>
    <col width="17" customWidth="1" min="6" max="6"/>
    <col width="20" customWidth="1" min="7" max="7"/>
    <col width="8" customWidth="1" min="8" max="8"/>
    <col width="33" customWidth="1" min="9" max="9"/>
  </cols>
  <sheetData>
    <row r="1">
      <c r="A1" s="26" t="inlineStr">
        <is>
          <t>✅ RÉSULTATS DES TESTS DE COHÉRENCE</t>
        </is>
      </c>
    </row>
    <row r="2"/>
    <row r="3">
      <c r="A3" s="5" t="inlineStr">
        <is>
          <t>SCPI</t>
        </is>
      </c>
      <c r="B3" s="5" t="inlineStr">
        <is>
          <t>Catégorie</t>
        </is>
      </c>
      <c r="C3" s="5" t="inlineStr">
        <is>
          <t>ID</t>
        </is>
      </c>
      <c r="D3" s="5" t="inlineStr">
        <is>
          <t>Description</t>
        </is>
      </c>
      <c r="E3" s="5" t="inlineStr">
        <is>
          <t>Valeur</t>
        </is>
      </c>
      <c r="F3" s="5" t="inlineStr">
        <is>
          <t>Référence</t>
        </is>
      </c>
      <c r="G3" s="5" t="inlineStr">
        <is>
          <t>Écart %</t>
        </is>
      </c>
      <c r="H3" s="5" t="inlineStr">
        <is>
          <t>Statut</t>
        </is>
      </c>
      <c r="I3" s="5" t="inlineStr">
        <is>
          <t>Commentaire</t>
        </is>
      </c>
    </row>
    <row r="4">
      <c r="A4" s="6" t="inlineStr">
        <is>
          <t>Aestiam Placement Pierre</t>
        </is>
      </c>
      <c r="B4" s="6" t="inlineStr">
        <is>
          <t>CAPEX</t>
        </is>
      </c>
      <c r="C4" s="6" t="inlineStr">
        <is>
          <t>CAP-001</t>
        </is>
      </c>
      <c r="D4" s="6" t="inlineStr">
        <is>
          <t>Ratio CAPEX / Valeur Vénale</t>
        </is>
      </c>
      <c r="E4" s="6" t="inlineStr">
        <is>
          <t>6.62%</t>
        </is>
      </c>
      <c r="F4" s="6" t="inlineStr">
        <is>
          <t>&lt; 20.0%</t>
        </is>
      </c>
      <c r="G4" s="6" t="n"/>
      <c r="H4" s="27" t="inlineStr">
        <is>
          <t>OK</t>
        </is>
      </c>
      <c r="I4" s="6" t="inlineStr"/>
    </row>
    <row r="5">
      <c r="A5" s="6" t="inlineStr">
        <is>
          <t>Aestiam Placement Pierre</t>
        </is>
      </c>
      <c r="B5" s="6" t="inlineStr">
        <is>
          <t>CAPEX</t>
        </is>
      </c>
      <c r="C5" s="6" t="inlineStr">
        <is>
          <t>CAP-002</t>
        </is>
      </c>
      <c r="D5" s="6" t="inlineStr">
        <is>
          <t>CAPEX par m² (benchmark 30-250 €/m²)</t>
        </is>
      </c>
      <c r="E5" s="6" t="inlineStr">
        <is>
          <t>237.27 €/m²</t>
        </is>
      </c>
      <c r="F5" s="6" t="inlineStr">
        <is>
          <t>30.0-250.0 €/m²</t>
        </is>
      </c>
      <c r="G5" s="6" t="n"/>
      <c r="H5" s="27" t="inlineStr">
        <is>
          <t>OK</t>
        </is>
      </c>
      <c r="I5" s="6" t="inlineStr"/>
    </row>
    <row r="6">
      <c r="A6" s="6" t="inlineStr">
        <is>
          <t>Aestiam Placement Pierre</t>
        </is>
      </c>
      <c r="B6" s="6" t="inlineStr">
        <is>
          <t>CAPEX</t>
        </is>
      </c>
      <c r="C6" s="6" t="inlineStr">
        <is>
          <t>CAP-003</t>
        </is>
      </c>
      <c r="D6" s="6" t="inlineStr">
        <is>
          <t>Taux d'actifs avec CAPEX</t>
        </is>
      </c>
      <c r="E6" s="6" t="inlineStr">
        <is>
          <t>37.9%</t>
        </is>
      </c>
      <c r="F6" s="6" t="inlineStr">
        <is>
          <t>Information</t>
        </is>
      </c>
      <c r="G6" s="6" t="n"/>
      <c r="H6" s="28" t="inlineStr">
        <is>
          <t>INFO</t>
        </is>
      </c>
      <c r="I6" s="6" t="inlineStr"/>
    </row>
    <row r="7">
      <c r="A7" s="6" t="inlineStr">
        <is>
          <t>Aestiam Placement Pierre</t>
        </is>
      </c>
      <c r="B7" s="6" t="inlineStr">
        <is>
          <t>ENDETTEMENT</t>
        </is>
      </c>
      <c r="C7" s="6" t="inlineStr">
        <is>
          <t>END-001</t>
        </is>
      </c>
      <c r="D7" s="6" t="inlineStr">
        <is>
          <t>LTV vs seuil réglementaire (50%)</t>
        </is>
      </c>
      <c r="E7" s="6" t="inlineStr">
        <is>
          <t>42.50%</t>
        </is>
      </c>
      <c r="F7" s="6" t="inlineStr">
        <is>
          <t>&lt; 50.0%</t>
        </is>
      </c>
      <c r="G7" s="6" t="n"/>
      <c r="H7" s="27" t="inlineStr">
        <is>
          <t>OK</t>
        </is>
      </c>
      <c r="I7" s="6" t="inlineStr">
        <is>
          <t>LTV élevé - surveiller</t>
        </is>
      </c>
    </row>
    <row r="8">
      <c r="A8" s="6" t="inlineStr">
        <is>
          <t>Aestiam Placement Pierre</t>
        </is>
      </c>
      <c r="B8" s="6" t="inlineStr">
        <is>
          <t>OCCUPATION</t>
        </is>
      </c>
      <c r="C8" s="6" t="inlineStr">
        <is>
          <t>OCC-001</t>
        </is>
      </c>
      <c r="D8" s="6" t="inlineStr">
        <is>
          <t>TOF dans plage acceptable</t>
        </is>
      </c>
      <c r="E8" s="6" t="inlineStr">
        <is>
          <t>78.50%</t>
        </is>
      </c>
      <c r="F8" s="6" t="inlineStr">
        <is>
          <t>≥ 80%</t>
        </is>
      </c>
      <c r="G8" s="6" t="n"/>
      <c r="H8" s="10" t="inlineStr">
        <is>
          <t>ALERTE</t>
        </is>
      </c>
      <c r="I8" s="6" t="inlineStr">
        <is>
          <t>TOF inférieur à 80% - vigilance</t>
        </is>
      </c>
    </row>
    <row r="9">
      <c r="A9" s="6" t="inlineStr">
        <is>
          <t>Aestiam Placement Pierre</t>
        </is>
      </c>
      <c r="B9" s="6" t="inlineStr">
        <is>
          <t>PATRIMOINE</t>
        </is>
      </c>
      <c r="C9" s="6" t="inlineStr">
        <is>
          <t>PAT-001</t>
        </is>
      </c>
      <c r="D9" s="6" t="inlineStr">
        <is>
          <t>Cohérence nb actifs déclaré vs détail</t>
        </is>
      </c>
      <c r="E9" s="6" t="inlineStr">
        <is>
          <t>58</t>
        </is>
      </c>
      <c r="F9" s="6" t="inlineStr">
        <is>
          <t>43 (détail)</t>
        </is>
      </c>
      <c r="G9" s="6" t="n">
        <v>25.86206896551724</v>
      </c>
      <c r="H9" s="10" t="inlineStr">
        <is>
          <t>ALERTE</t>
        </is>
      </c>
      <c r="I9" s="6" t="inlineStr"/>
    </row>
    <row r="10">
      <c r="A10" s="6" t="inlineStr">
        <is>
          <t>Aestiam Placement Pierre</t>
        </is>
      </c>
      <c r="B10" s="6" t="inlineStr">
        <is>
          <t>REPARTITION</t>
        </is>
      </c>
      <c r="C10" s="6" t="inlineStr">
        <is>
          <t>REP-001</t>
        </is>
      </c>
      <c r="D10" s="6" t="inlineStr">
        <is>
          <t>Somme répartition géographique = 100%</t>
        </is>
      </c>
      <c r="E10" s="6" t="inlineStr">
        <is>
          <t>109.6%</t>
        </is>
      </c>
      <c r="F10" s="6" t="inlineStr">
        <is>
          <t>100%</t>
        </is>
      </c>
      <c r="G10" s="6" t="n">
        <v>9.607319064536171</v>
      </c>
      <c r="H10" s="10" t="inlineStr">
        <is>
          <t>ALERTE</t>
        </is>
      </c>
      <c r="I10" s="6" t="inlineStr"/>
    </row>
    <row r="11">
      <c r="A11" s="6" t="inlineStr">
        <is>
          <t>Aestiam Placement Pierre</t>
        </is>
      </c>
      <c r="B11" s="6" t="inlineStr">
        <is>
          <t>REPARTITION</t>
        </is>
      </c>
      <c r="C11" s="6" t="inlineStr">
        <is>
          <t>REP-002</t>
        </is>
      </c>
      <c r="D11" s="6" t="inlineStr">
        <is>
          <t>Somme répartition typologique = 100%</t>
        </is>
      </c>
      <c r="E11" s="6" t="inlineStr">
        <is>
          <t>97.4%</t>
        </is>
      </c>
      <c r="F11" s="6" t="inlineStr">
        <is>
          <t>100%</t>
        </is>
      </c>
      <c r="G11" s="6" t="n">
        <v>2.553648634875429</v>
      </c>
      <c r="H11" s="10" t="inlineStr">
        <is>
          <t>ALERTE</t>
        </is>
      </c>
      <c r="I11" s="6" t="inlineStr"/>
    </row>
    <row r="12">
      <c r="A12" s="6" t="inlineStr">
        <is>
          <t>Aestiam Placement Pierre</t>
        </is>
      </c>
      <c r="B12" s="6" t="inlineStr">
        <is>
          <t>VALORISATION</t>
        </is>
      </c>
      <c r="C12" s="6" t="inlineStr">
        <is>
          <t>VAL-001</t>
        </is>
      </c>
      <c r="D12" s="6" t="inlineStr">
        <is>
          <t>Écart prix souscription vs valeur reconstitution</t>
        </is>
      </c>
      <c r="E12" s="6" t="inlineStr">
        <is>
          <t>210.00 €</t>
        </is>
      </c>
      <c r="F12" s="6" t="inlineStr">
        <is>
          <t>195.00 €</t>
        </is>
      </c>
      <c r="G12" s="6" t="n">
        <v>7.692307692307693</v>
      </c>
      <c r="H12" s="10" t="inlineStr">
        <is>
          <t>ALERTE</t>
        </is>
      </c>
      <c r="I12" s="6" t="inlineStr"/>
    </row>
    <row r="13">
      <c r="A13" s="6" t="inlineStr">
        <is>
          <t>Atout Pierre Diversification</t>
        </is>
      </c>
      <c r="B13" s="6" t="inlineStr">
        <is>
          <t>CAPEX</t>
        </is>
      </c>
      <c r="C13" s="6" t="inlineStr">
        <is>
          <t>CAP-001</t>
        </is>
      </c>
      <c r="D13" s="6" t="inlineStr">
        <is>
          <t>Ratio CAPEX / Valeur Vénale</t>
        </is>
      </c>
      <c r="E13" s="6" t="inlineStr">
        <is>
          <t>2.13%</t>
        </is>
      </c>
      <c r="F13" s="6" t="inlineStr">
        <is>
          <t>&lt; 20.0%</t>
        </is>
      </c>
      <c r="G13" s="6" t="n"/>
      <c r="H13" s="27" t="inlineStr">
        <is>
          <t>OK</t>
        </is>
      </c>
      <c r="I13" s="6" t="inlineStr"/>
    </row>
    <row r="14">
      <c r="A14" s="6" t="inlineStr">
        <is>
          <t>Atout Pierre Diversification</t>
        </is>
      </c>
      <c r="B14" s="6" t="inlineStr">
        <is>
          <t>CAPEX</t>
        </is>
      </c>
      <c r="C14" s="6" t="inlineStr">
        <is>
          <t>CAP-002</t>
        </is>
      </c>
      <c r="D14" s="6" t="inlineStr">
        <is>
          <t>CAPEX par m² (benchmark 30-250 €/m²)</t>
        </is>
      </c>
      <c r="E14" s="6" t="inlineStr">
        <is>
          <t>78.60 €/m²</t>
        </is>
      </c>
      <c r="F14" s="6" t="inlineStr">
        <is>
          <t>30.0-250.0 €/m²</t>
        </is>
      </c>
      <c r="G14" s="6" t="n"/>
      <c r="H14" s="27" t="inlineStr">
        <is>
          <t>OK</t>
        </is>
      </c>
      <c r="I14" s="6" t="inlineStr"/>
    </row>
    <row r="15">
      <c r="A15" s="6" t="inlineStr">
        <is>
          <t>Atout Pierre Diversification</t>
        </is>
      </c>
      <c r="B15" s="6" t="inlineStr">
        <is>
          <t>CAPEX</t>
        </is>
      </c>
      <c r="C15" s="6" t="inlineStr">
        <is>
          <t>CAP-003</t>
        </is>
      </c>
      <c r="D15" s="6" t="inlineStr">
        <is>
          <t>Taux d'actifs avec CAPEX</t>
        </is>
      </c>
      <c r="E15" s="6" t="inlineStr">
        <is>
          <t>32.1%</t>
        </is>
      </c>
      <c r="F15" s="6" t="inlineStr">
        <is>
          <t>Information</t>
        </is>
      </c>
      <c r="G15" s="6" t="n"/>
      <c r="H15" s="28" t="inlineStr">
        <is>
          <t>INFO</t>
        </is>
      </c>
      <c r="I15" s="6" t="inlineStr"/>
    </row>
    <row r="16">
      <c r="A16" s="6" t="inlineStr">
        <is>
          <t>Atout Pierre Diversification</t>
        </is>
      </c>
      <c r="B16" s="6" t="inlineStr">
        <is>
          <t>ENDETTEMENT</t>
        </is>
      </c>
      <c r="C16" s="6" t="inlineStr">
        <is>
          <t>END-001</t>
        </is>
      </c>
      <c r="D16" s="6" t="inlineStr">
        <is>
          <t>LTV vs seuil réglementaire (50%)</t>
        </is>
      </c>
      <c r="E16" s="6" t="inlineStr">
        <is>
          <t>22.50%</t>
        </is>
      </c>
      <c r="F16" s="6" t="inlineStr">
        <is>
          <t>&lt; 50.0%</t>
        </is>
      </c>
      <c r="G16" s="6" t="n"/>
      <c r="H16" s="27" t="inlineStr">
        <is>
          <t>OK</t>
        </is>
      </c>
      <c r="I16" s="6" t="inlineStr"/>
    </row>
    <row r="17">
      <c r="A17" s="6" t="inlineStr">
        <is>
          <t>Atout Pierre Diversification</t>
        </is>
      </c>
      <c r="B17" s="6" t="inlineStr">
        <is>
          <t>OCCUPATION</t>
        </is>
      </c>
      <c r="C17" s="6" t="inlineStr">
        <is>
          <t>OCC-001</t>
        </is>
      </c>
      <c r="D17" s="6" t="inlineStr">
        <is>
          <t>TOF dans plage acceptable</t>
        </is>
      </c>
      <c r="E17" s="6" t="inlineStr">
        <is>
          <t>91.80%</t>
        </is>
      </c>
      <c r="F17" s="6" t="inlineStr">
        <is>
          <t>≥ 80%</t>
        </is>
      </c>
      <c r="G17" s="6" t="n"/>
      <c r="H17" s="27" t="inlineStr">
        <is>
          <t>OK</t>
        </is>
      </c>
      <c r="I17" s="6" t="inlineStr"/>
    </row>
    <row r="18">
      <c r="A18" s="6" t="inlineStr">
        <is>
          <t>Atout Pierre Diversification</t>
        </is>
      </c>
      <c r="B18" s="6" t="inlineStr">
        <is>
          <t>PATRIMOINE</t>
        </is>
      </c>
      <c r="C18" s="6" t="inlineStr">
        <is>
          <t>PAT-001</t>
        </is>
      </c>
      <c r="D18" s="6" t="inlineStr">
        <is>
          <t>Cohérence nb actifs déclaré vs détail</t>
        </is>
      </c>
      <c r="E18" s="6" t="inlineStr">
        <is>
          <t>95</t>
        </is>
      </c>
      <c r="F18" s="6" t="inlineStr">
        <is>
          <t>42 (détail)</t>
        </is>
      </c>
      <c r="G18" s="6" t="n">
        <v>55.78947368421052</v>
      </c>
      <c r="H18" s="10" t="inlineStr">
        <is>
          <t>ALERTE</t>
        </is>
      </c>
      <c r="I18" s="6" t="inlineStr"/>
    </row>
    <row r="19">
      <c r="A19" s="6" t="inlineStr">
        <is>
          <t>Atout Pierre Diversification</t>
        </is>
      </c>
      <c r="B19" s="6" t="inlineStr">
        <is>
          <t>REPARTITION</t>
        </is>
      </c>
      <c r="C19" s="6" t="inlineStr">
        <is>
          <t>REP-001</t>
        </is>
      </c>
      <c r="D19" s="6" t="inlineStr">
        <is>
          <t>Somme répartition géographique = 100%</t>
        </is>
      </c>
      <c r="E19" s="6" t="inlineStr">
        <is>
          <t>98.0%</t>
        </is>
      </c>
      <c r="F19" s="6" t="inlineStr">
        <is>
          <t>100%</t>
        </is>
      </c>
      <c r="G19" s="6" t="n">
        <v>2.012139681027676</v>
      </c>
      <c r="H19" s="10" t="inlineStr">
        <is>
          <t>ALERTE</t>
        </is>
      </c>
      <c r="I19" s="6" t="inlineStr"/>
    </row>
    <row r="20">
      <c r="A20" s="6" t="inlineStr">
        <is>
          <t>Atout Pierre Diversification</t>
        </is>
      </c>
      <c r="B20" s="6" t="inlineStr">
        <is>
          <t>REPARTITION</t>
        </is>
      </c>
      <c r="C20" s="6" t="inlineStr">
        <is>
          <t>REP-002</t>
        </is>
      </c>
      <c r="D20" s="6" t="inlineStr">
        <is>
          <t>Somme répartition typologique = 100%</t>
        </is>
      </c>
      <c r="E20" s="6" t="inlineStr">
        <is>
          <t>110.0%</t>
        </is>
      </c>
      <c r="F20" s="6" t="inlineStr">
        <is>
          <t>100%</t>
        </is>
      </c>
      <c r="G20" s="6" t="n">
        <v>9.975924960585559</v>
      </c>
      <c r="H20" s="10" t="inlineStr">
        <is>
          <t>ALERTE</t>
        </is>
      </c>
      <c r="I20" s="6" t="inlineStr"/>
    </row>
    <row r="21">
      <c r="A21" s="6" t="inlineStr">
        <is>
          <t>Atout Pierre Diversification</t>
        </is>
      </c>
      <c r="B21" s="6" t="inlineStr">
        <is>
          <t>VALORISATION</t>
        </is>
      </c>
      <c r="C21" s="6" t="inlineStr">
        <is>
          <t>VAL-001</t>
        </is>
      </c>
      <c r="D21" s="6" t="inlineStr">
        <is>
          <t>Écart prix souscription vs valeur reconstitution</t>
        </is>
      </c>
      <c r="E21" s="6" t="inlineStr">
        <is>
          <t>268.00 €</t>
        </is>
      </c>
      <c r="F21" s="6" t="inlineStr">
        <is>
          <t>262.00 €</t>
        </is>
      </c>
      <c r="G21" s="6" t="n">
        <v>2.290076335877862</v>
      </c>
      <c r="H21" s="27" t="inlineStr">
        <is>
          <t>OK</t>
        </is>
      </c>
      <c r="I21" s="6" t="inlineStr"/>
    </row>
    <row r="22">
      <c r="A22" s="6" t="inlineStr">
        <is>
          <t>LF Croissance &amp; Territoires</t>
        </is>
      </c>
      <c r="B22" s="6" t="inlineStr">
        <is>
          <t>CAPEX</t>
        </is>
      </c>
      <c r="C22" s="6" t="inlineStr">
        <is>
          <t>CAP-001</t>
        </is>
      </c>
      <c r="D22" s="6" t="inlineStr">
        <is>
          <t>Ratio CAPEX / Valeur Vénale</t>
        </is>
      </c>
      <c r="E22" s="6" t="inlineStr">
        <is>
          <t>4.44%</t>
        </is>
      </c>
      <c r="F22" s="6" t="inlineStr">
        <is>
          <t>&lt; 20.0%</t>
        </is>
      </c>
      <c r="G22" s="6" t="n"/>
      <c r="H22" s="27" t="inlineStr">
        <is>
          <t>OK</t>
        </is>
      </c>
      <c r="I22" s="6" t="inlineStr"/>
    </row>
    <row r="23">
      <c r="A23" s="6" t="inlineStr">
        <is>
          <t>LF Croissance &amp; Territoires</t>
        </is>
      </c>
      <c r="B23" s="6" t="inlineStr">
        <is>
          <t>CAPEX</t>
        </is>
      </c>
      <c r="C23" s="6" t="inlineStr">
        <is>
          <t>CAP-002</t>
        </is>
      </c>
      <c r="D23" s="6" t="inlineStr">
        <is>
          <t>CAPEX par m² (benchmark 30-250 €/m²)</t>
        </is>
      </c>
      <c r="E23" s="6" t="inlineStr">
        <is>
          <t>193.38 €/m²</t>
        </is>
      </c>
      <c r="F23" s="6" t="inlineStr">
        <is>
          <t>30.0-250.0 €/m²</t>
        </is>
      </c>
      <c r="G23" s="6" t="n"/>
      <c r="H23" s="27" t="inlineStr">
        <is>
          <t>OK</t>
        </is>
      </c>
      <c r="I23" s="6" t="inlineStr"/>
    </row>
    <row r="24">
      <c r="A24" s="6" t="inlineStr">
        <is>
          <t>LF Croissance &amp; Territoires</t>
        </is>
      </c>
      <c r="B24" s="6" t="inlineStr">
        <is>
          <t>CAPEX</t>
        </is>
      </c>
      <c r="C24" s="6" t="inlineStr">
        <is>
          <t>CAP-003</t>
        </is>
      </c>
      <c r="D24" s="6" t="inlineStr">
        <is>
          <t>Taux d'actifs avec CAPEX</t>
        </is>
      </c>
      <c r="E24" s="6" t="inlineStr">
        <is>
          <t>33.3%</t>
        </is>
      </c>
      <c r="F24" s="6" t="inlineStr">
        <is>
          <t>Information</t>
        </is>
      </c>
      <c r="G24" s="6" t="n"/>
      <c r="H24" s="28" t="inlineStr">
        <is>
          <t>INFO</t>
        </is>
      </c>
      <c r="I24" s="6" t="inlineStr"/>
    </row>
    <row r="25">
      <c r="A25" s="6" t="inlineStr">
        <is>
          <t>LF Croissance &amp; Territoires</t>
        </is>
      </c>
      <c r="B25" s="6" t="inlineStr">
        <is>
          <t>ENDETTEMENT</t>
        </is>
      </c>
      <c r="C25" s="6" t="inlineStr">
        <is>
          <t>END-001</t>
        </is>
      </c>
      <c r="D25" s="6" t="inlineStr">
        <is>
          <t>LTV vs seuil réglementaire (50%)</t>
        </is>
      </c>
      <c r="E25" s="6" t="inlineStr">
        <is>
          <t>28.30%</t>
        </is>
      </c>
      <c r="F25" s="6" t="inlineStr">
        <is>
          <t>&lt; 50.0%</t>
        </is>
      </c>
      <c r="G25" s="6" t="n"/>
      <c r="H25" s="27" t="inlineStr">
        <is>
          <t>OK</t>
        </is>
      </c>
      <c r="I25" s="6" t="inlineStr"/>
    </row>
    <row r="26">
      <c r="A26" s="6" t="inlineStr">
        <is>
          <t>LF Croissance &amp; Territoires</t>
        </is>
      </c>
      <c r="B26" s="6" t="inlineStr">
        <is>
          <t>OCCUPATION</t>
        </is>
      </c>
      <c r="C26" s="6" t="inlineStr">
        <is>
          <t>OCC-001</t>
        </is>
      </c>
      <c r="D26" s="6" t="inlineStr">
        <is>
          <t>TOF dans plage acceptable</t>
        </is>
      </c>
      <c r="E26" s="6" t="inlineStr">
        <is>
          <t>88.20%</t>
        </is>
      </c>
      <c r="F26" s="6" t="inlineStr">
        <is>
          <t>≥ 80%</t>
        </is>
      </c>
      <c r="G26" s="6" t="n"/>
      <c r="H26" s="27" t="inlineStr">
        <is>
          <t>OK</t>
        </is>
      </c>
      <c r="I26" s="6" t="inlineStr"/>
    </row>
    <row r="27">
      <c r="A27" s="6" t="inlineStr">
        <is>
          <t>LF Croissance &amp; Territoires</t>
        </is>
      </c>
      <c r="B27" s="6" t="inlineStr">
        <is>
          <t>PATRIMOINE</t>
        </is>
      </c>
      <c r="C27" s="6" t="inlineStr">
        <is>
          <t>PAT-001</t>
        </is>
      </c>
      <c r="D27" s="6" t="inlineStr">
        <is>
          <t>Cohérence nb actifs déclaré vs détail</t>
        </is>
      </c>
      <c r="E27" s="6" t="inlineStr">
        <is>
          <t>72</t>
        </is>
      </c>
      <c r="F27" s="6" t="inlineStr">
        <is>
          <t>52 (détail)</t>
        </is>
      </c>
      <c r="G27" s="6" t="n">
        <v>27.77777777777778</v>
      </c>
      <c r="H27" s="10" t="inlineStr">
        <is>
          <t>ALERTE</t>
        </is>
      </c>
      <c r="I27" s="6" t="inlineStr"/>
    </row>
    <row r="28">
      <c r="A28" s="6" t="inlineStr">
        <is>
          <t>LF Croissance &amp; Territoires</t>
        </is>
      </c>
      <c r="B28" s="6" t="inlineStr">
        <is>
          <t>REPARTITION</t>
        </is>
      </c>
      <c r="C28" s="6" t="inlineStr">
        <is>
          <t>REP-001</t>
        </is>
      </c>
      <c r="D28" s="6" t="inlineStr">
        <is>
          <t>Somme répartition géographique = 100%</t>
        </is>
      </c>
      <c r="E28" s="6" t="inlineStr">
        <is>
          <t>109.5%</t>
        </is>
      </c>
      <c r="F28" s="6" t="inlineStr">
        <is>
          <t>100%</t>
        </is>
      </c>
      <c r="G28" s="6" t="n">
        <v>9.548597489169055</v>
      </c>
      <c r="H28" s="10" t="inlineStr">
        <is>
          <t>ALERTE</t>
        </is>
      </c>
      <c r="I28" s="6" t="inlineStr"/>
    </row>
    <row r="29">
      <c r="A29" s="6" t="inlineStr">
        <is>
          <t>LF Croissance &amp; Territoires</t>
        </is>
      </c>
      <c r="B29" s="6" t="inlineStr">
        <is>
          <t>REPARTITION</t>
        </is>
      </c>
      <c r="C29" s="6" t="inlineStr">
        <is>
          <t>REP-002</t>
        </is>
      </c>
      <c r="D29" s="6" t="inlineStr">
        <is>
          <t>Somme répartition typologique = 100%</t>
        </is>
      </c>
      <c r="E29" s="6" t="inlineStr">
        <is>
          <t>105.1%</t>
        </is>
      </c>
      <c r="F29" s="6" t="inlineStr">
        <is>
          <t>100%</t>
        </is>
      </c>
      <c r="G29" s="6" t="n">
        <v>5.115366638126602</v>
      </c>
      <c r="H29" s="10" t="inlineStr">
        <is>
          <t>ALERTE</t>
        </is>
      </c>
      <c r="I29" s="6" t="inlineStr"/>
    </row>
    <row r="30">
      <c r="A30" s="6" t="inlineStr">
        <is>
          <t>LF Croissance &amp; Territoires</t>
        </is>
      </c>
      <c r="B30" s="6" t="inlineStr">
        <is>
          <t>VALORISATION</t>
        </is>
      </c>
      <c r="C30" s="6" t="inlineStr">
        <is>
          <t>VAL-001</t>
        </is>
      </c>
      <c r="D30" s="6" t="inlineStr">
        <is>
          <t>Écart prix souscription vs valeur reconstitution</t>
        </is>
      </c>
      <c r="E30" s="6" t="inlineStr">
        <is>
          <t>245.00 €</t>
        </is>
      </c>
      <c r="F30" s="6" t="inlineStr">
        <is>
          <t>238.50 €</t>
        </is>
      </c>
      <c r="G30" s="6" t="n">
        <v>2.725366876310273</v>
      </c>
      <c r="H30" s="27" t="inlineStr">
        <is>
          <t>OK</t>
        </is>
      </c>
      <c r="I30" s="6" t="inlineStr"/>
    </row>
    <row r="31">
      <c r="A31" s="6" t="inlineStr">
        <is>
          <t>Pierre Sélection</t>
        </is>
      </c>
      <c r="B31" s="6" t="inlineStr">
        <is>
          <t>CAPEX</t>
        </is>
      </c>
      <c r="C31" s="6" t="inlineStr">
        <is>
          <t>CAP-001</t>
        </is>
      </c>
      <c r="D31" s="6" t="inlineStr">
        <is>
          <t>Ratio CAPEX / Valeur Vénale</t>
        </is>
      </c>
      <c r="E31" s="6" t="inlineStr">
        <is>
          <t>2.69%</t>
        </is>
      </c>
      <c r="F31" s="6" t="inlineStr">
        <is>
          <t>&lt; 20.0%</t>
        </is>
      </c>
      <c r="G31" s="6" t="n"/>
      <c r="H31" s="27" t="inlineStr">
        <is>
          <t>OK</t>
        </is>
      </c>
      <c r="I31" s="6" t="inlineStr"/>
    </row>
    <row r="32">
      <c r="A32" s="6" t="inlineStr">
        <is>
          <t>Pierre Sélection</t>
        </is>
      </c>
      <c r="B32" s="6" t="inlineStr">
        <is>
          <t>CAPEX</t>
        </is>
      </c>
      <c r="C32" s="6" t="inlineStr">
        <is>
          <t>CAP-002</t>
        </is>
      </c>
      <c r="D32" s="6" t="inlineStr">
        <is>
          <t>CAPEX par m² (benchmark 30-250 €/m²)</t>
        </is>
      </c>
      <c r="E32" s="6" t="inlineStr">
        <is>
          <t>165.28 €/m²</t>
        </is>
      </c>
      <c r="F32" s="6" t="inlineStr">
        <is>
          <t>30.0-250.0 €/m²</t>
        </is>
      </c>
      <c r="G32" s="6" t="n"/>
      <c r="H32" s="27" t="inlineStr">
        <is>
          <t>OK</t>
        </is>
      </c>
      <c r="I32" s="6" t="inlineStr"/>
    </row>
    <row r="33">
      <c r="A33" s="6" t="inlineStr">
        <is>
          <t>Pierre Sélection</t>
        </is>
      </c>
      <c r="B33" s="6" t="inlineStr">
        <is>
          <t>CAPEX</t>
        </is>
      </c>
      <c r="C33" s="6" t="inlineStr">
        <is>
          <t>CAP-003</t>
        </is>
      </c>
      <c r="D33" s="6" t="inlineStr">
        <is>
          <t>Taux d'actifs avec CAPEX</t>
        </is>
      </c>
      <c r="E33" s="6" t="inlineStr">
        <is>
          <t>35.3%</t>
        </is>
      </c>
      <c r="F33" s="6" t="inlineStr">
        <is>
          <t>Information</t>
        </is>
      </c>
      <c r="G33" s="6" t="n"/>
      <c r="H33" s="28" t="inlineStr">
        <is>
          <t>INFO</t>
        </is>
      </c>
      <c r="I33" s="6" t="inlineStr"/>
    </row>
    <row r="34">
      <c r="A34" s="6" t="inlineStr">
        <is>
          <t>Pierre Sélection</t>
        </is>
      </c>
      <c r="B34" s="6" t="inlineStr">
        <is>
          <t>ENDETTEMENT</t>
        </is>
      </c>
      <c r="C34" s="6" t="inlineStr">
        <is>
          <t>END-001</t>
        </is>
      </c>
      <c r="D34" s="6" t="inlineStr">
        <is>
          <t>LTV vs seuil réglementaire (50%)</t>
        </is>
      </c>
      <c r="E34" s="6" t="inlineStr">
        <is>
          <t>12.20%</t>
        </is>
      </c>
      <c r="F34" s="6" t="inlineStr">
        <is>
          <t>&lt; 50.0%</t>
        </is>
      </c>
      <c r="G34" s="6" t="n"/>
      <c r="H34" s="27" t="inlineStr">
        <is>
          <t>OK</t>
        </is>
      </c>
      <c r="I34" s="6" t="inlineStr"/>
    </row>
    <row r="35">
      <c r="A35" s="6" t="inlineStr">
        <is>
          <t>Pierre Sélection</t>
        </is>
      </c>
      <c r="B35" s="6" t="inlineStr">
        <is>
          <t>OCCUPATION</t>
        </is>
      </c>
      <c r="C35" s="6" t="inlineStr">
        <is>
          <t>OCC-001</t>
        </is>
      </c>
      <c r="D35" s="6" t="inlineStr">
        <is>
          <t>TOF dans plage acceptable</t>
        </is>
      </c>
      <c r="E35" s="6" t="inlineStr">
        <is>
          <t>89.50%</t>
        </is>
      </c>
      <c r="F35" s="6" t="inlineStr">
        <is>
          <t>≥ 80%</t>
        </is>
      </c>
      <c r="G35" s="6" t="n"/>
      <c r="H35" s="27" t="inlineStr">
        <is>
          <t>OK</t>
        </is>
      </c>
      <c r="I35" s="6" t="inlineStr"/>
    </row>
    <row r="36">
      <c r="A36" s="6" t="inlineStr">
        <is>
          <t>Pierre Sélection</t>
        </is>
      </c>
      <c r="B36" s="6" t="inlineStr">
        <is>
          <t>PATRIMOINE</t>
        </is>
      </c>
      <c r="C36" s="6" t="inlineStr">
        <is>
          <t>PAT-001</t>
        </is>
      </c>
      <c r="D36" s="6" t="inlineStr">
        <is>
          <t>Cohérence nb actifs déclaré vs détail</t>
        </is>
      </c>
      <c r="E36" s="6" t="inlineStr">
        <is>
          <t>82</t>
        </is>
      </c>
      <c r="F36" s="6" t="inlineStr">
        <is>
          <t>28 (détail)</t>
        </is>
      </c>
      <c r="G36" s="6" t="n">
        <v>65.85365853658537</v>
      </c>
      <c r="H36" s="10" t="inlineStr">
        <is>
          <t>ALERTE</t>
        </is>
      </c>
      <c r="I36" s="6" t="inlineStr"/>
    </row>
    <row r="37">
      <c r="A37" s="6" t="inlineStr">
        <is>
          <t>Pierre Sélection</t>
        </is>
      </c>
      <c r="B37" s="6" t="inlineStr">
        <is>
          <t>REPARTITION</t>
        </is>
      </c>
      <c r="C37" s="6" t="inlineStr">
        <is>
          <t>REP-001</t>
        </is>
      </c>
      <c r="D37" s="6" t="inlineStr">
        <is>
          <t>Somme répartition géographique = 100%</t>
        </is>
      </c>
      <c r="E37" s="6" t="inlineStr">
        <is>
          <t>110.5%</t>
        </is>
      </c>
      <c r="F37" s="6" t="inlineStr">
        <is>
          <t>100%</t>
        </is>
      </c>
      <c r="G37" s="6" t="n">
        <v>10.52681062578046</v>
      </c>
      <c r="H37" s="10" t="inlineStr">
        <is>
          <t>ALERTE</t>
        </is>
      </c>
      <c r="I37" s="6" t="inlineStr"/>
    </row>
    <row r="38">
      <c r="A38" s="6" t="inlineStr">
        <is>
          <t>Pierre Sélection</t>
        </is>
      </c>
      <c r="B38" s="6" t="inlineStr">
        <is>
          <t>REPARTITION</t>
        </is>
      </c>
      <c r="C38" s="6" t="inlineStr">
        <is>
          <t>REP-002</t>
        </is>
      </c>
      <c r="D38" s="6" t="inlineStr">
        <is>
          <t>Somme répartition typologique = 100%</t>
        </is>
      </c>
      <c r="E38" s="6" t="inlineStr">
        <is>
          <t>86.6%</t>
        </is>
      </c>
      <c r="F38" s="6" t="inlineStr">
        <is>
          <t>100%</t>
        </is>
      </c>
      <c r="G38" s="6" t="n">
        <v>13.44051721980937</v>
      </c>
      <c r="H38" s="10" t="inlineStr">
        <is>
          <t>ALERTE</t>
        </is>
      </c>
      <c r="I38" s="6" t="inlineStr"/>
    </row>
    <row r="39">
      <c r="A39" s="6" t="inlineStr">
        <is>
          <t>Pierre Sélection</t>
        </is>
      </c>
      <c r="B39" s="6" t="inlineStr">
        <is>
          <t>VALORISATION</t>
        </is>
      </c>
      <c r="C39" s="6" t="inlineStr">
        <is>
          <t>VAL-001</t>
        </is>
      </c>
      <c r="D39" s="6" t="inlineStr">
        <is>
          <t>Écart prix souscription vs valeur reconstitution</t>
        </is>
      </c>
      <c r="E39" s="6" t="inlineStr">
        <is>
          <t>1,020.00 €</t>
        </is>
      </c>
      <c r="F39" s="6" t="inlineStr">
        <is>
          <t>985.00 €</t>
        </is>
      </c>
      <c r="G39" s="6" t="n">
        <v>3.553299492385787</v>
      </c>
      <c r="H39" s="27" t="inlineStr">
        <is>
          <t>OK</t>
        </is>
      </c>
      <c r="I39" s="6" t="inlineStr"/>
    </row>
    <row r="40">
      <c r="A40" s="6" t="inlineStr">
        <is>
          <t>Rivoli Avenir Patrimoine</t>
        </is>
      </c>
      <c r="B40" s="6" t="inlineStr">
        <is>
          <t>CAPEX</t>
        </is>
      </c>
      <c r="C40" s="6" t="inlineStr">
        <is>
          <t>CAP-001</t>
        </is>
      </c>
      <c r="D40" s="6" t="inlineStr">
        <is>
          <t>Ratio CAPEX / Valeur Vénale</t>
        </is>
      </c>
      <c r="E40" s="6" t="inlineStr">
        <is>
          <t>1.15%</t>
        </is>
      </c>
      <c r="F40" s="6" t="inlineStr">
        <is>
          <t>&lt; 20.0%</t>
        </is>
      </c>
      <c r="G40" s="6" t="n"/>
      <c r="H40" s="27" t="inlineStr">
        <is>
          <t>OK</t>
        </is>
      </c>
      <c r="I40" s="6" t="inlineStr"/>
    </row>
    <row r="41">
      <c r="A41" s="6" t="inlineStr">
        <is>
          <t>Rivoli Avenir Patrimoine</t>
        </is>
      </c>
      <c r="B41" s="6" t="inlineStr">
        <is>
          <t>CAPEX</t>
        </is>
      </c>
      <c r="C41" s="6" t="inlineStr">
        <is>
          <t>CAP-002</t>
        </is>
      </c>
      <c r="D41" s="6" t="inlineStr">
        <is>
          <t>CAPEX par m² (benchmark 30-250 €/m²)</t>
        </is>
      </c>
      <c r="E41" s="6" t="inlineStr">
        <is>
          <t>62.67 €/m²</t>
        </is>
      </c>
      <c r="F41" s="6" t="inlineStr">
        <is>
          <t>30.0-250.0 €/m²</t>
        </is>
      </c>
      <c r="G41" s="6" t="n"/>
      <c r="H41" s="27" t="inlineStr">
        <is>
          <t>OK</t>
        </is>
      </c>
      <c r="I41" s="6" t="inlineStr"/>
    </row>
    <row r="42">
      <c r="A42" s="6" t="inlineStr">
        <is>
          <t>Rivoli Avenir Patrimoine</t>
        </is>
      </c>
      <c r="B42" s="6" t="inlineStr">
        <is>
          <t>CAPEX</t>
        </is>
      </c>
      <c r="C42" s="6" t="inlineStr">
        <is>
          <t>CAP-003</t>
        </is>
      </c>
      <c r="D42" s="6" t="inlineStr">
        <is>
          <t>Taux d'actifs avec CAPEX</t>
        </is>
      </c>
      <c r="E42" s="6" t="inlineStr">
        <is>
          <t>63.6%</t>
        </is>
      </c>
      <c r="F42" s="6" t="inlineStr">
        <is>
          <t>Information</t>
        </is>
      </c>
      <c r="G42" s="6" t="n"/>
      <c r="H42" s="28" t="inlineStr">
        <is>
          <t>INFO</t>
        </is>
      </c>
      <c r="I42" s="6" t="inlineStr"/>
    </row>
    <row r="43">
      <c r="A43" s="6" t="inlineStr">
        <is>
          <t>Rivoli Avenir Patrimoine</t>
        </is>
      </c>
      <c r="B43" s="6" t="inlineStr">
        <is>
          <t>ENDETTEMENT</t>
        </is>
      </c>
      <c r="C43" s="6" t="inlineStr">
        <is>
          <t>END-001</t>
        </is>
      </c>
      <c r="D43" s="6" t="inlineStr">
        <is>
          <t>LTV vs seuil réglementaire (50%)</t>
        </is>
      </c>
      <c r="E43" s="6" t="inlineStr">
        <is>
          <t>18.50%</t>
        </is>
      </c>
      <c r="F43" s="6" t="inlineStr">
        <is>
          <t>&lt; 50.0%</t>
        </is>
      </c>
      <c r="G43" s="6" t="n"/>
      <c r="H43" s="27" t="inlineStr">
        <is>
          <t>OK</t>
        </is>
      </c>
      <c r="I43" s="6" t="inlineStr"/>
    </row>
    <row r="44">
      <c r="A44" s="6" t="inlineStr">
        <is>
          <t>Rivoli Avenir Patrimoine</t>
        </is>
      </c>
      <c r="B44" s="6" t="inlineStr">
        <is>
          <t>OCCUPATION</t>
        </is>
      </c>
      <c r="C44" s="6" t="inlineStr">
        <is>
          <t>OCC-001</t>
        </is>
      </c>
      <c r="D44" s="6" t="inlineStr">
        <is>
          <t>TOF dans plage acceptable</t>
        </is>
      </c>
      <c r="E44" s="6" t="inlineStr">
        <is>
          <t>92.30%</t>
        </is>
      </c>
      <c r="F44" s="6" t="inlineStr">
        <is>
          <t>≥ 80%</t>
        </is>
      </c>
      <c r="G44" s="6" t="n"/>
      <c r="H44" s="27" t="inlineStr">
        <is>
          <t>OK</t>
        </is>
      </c>
      <c r="I44" s="6" t="inlineStr"/>
    </row>
    <row r="45">
      <c r="A45" s="6" t="inlineStr">
        <is>
          <t>Rivoli Avenir Patrimoine</t>
        </is>
      </c>
      <c r="B45" s="6" t="inlineStr">
        <is>
          <t>PATRIMOINE</t>
        </is>
      </c>
      <c r="C45" s="6" t="inlineStr">
        <is>
          <t>PAT-001</t>
        </is>
      </c>
      <c r="D45" s="6" t="inlineStr">
        <is>
          <t>Cohérence nb actifs déclaré vs détail</t>
        </is>
      </c>
      <c r="E45" s="6" t="inlineStr">
        <is>
          <t>145</t>
        </is>
      </c>
      <c r="F45" s="6" t="inlineStr">
        <is>
          <t>35 (détail)</t>
        </is>
      </c>
      <c r="G45" s="6" t="n">
        <v>75.86206896551724</v>
      </c>
      <c r="H45" s="10" t="inlineStr">
        <is>
          <t>ALERTE</t>
        </is>
      </c>
      <c r="I45" s="6" t="inlineStr"/>
    </row>
    <row r="46">
      <c r="A46" s="6" t="inlineStr">
        <is>
          <t>Rivoli Avenir Patrimoine</t>
        </is>
      </c>
      <c r="B46" s="6" t="inlineStr">
        <is>
          <t>REPARTITION</t>
        </is>
      </c>
      <c r="C46" s="6" t="inlineStr">
        <is>
          <t>REP-001</t>
        </is>
      </c>
      <c r="D46" s="6" t="inlineStr">
        <is>
          <t>Somme répartition géographique = 100%</t>
        </is>
      </c>
      <c r="E46" s="6" t="inlineStr">
        <is>
          <t>90.0%</t>
        </is>
      </c>
      <c r="F46" s="6" t="inlineStr">
        <is>
          <t>100%</t>
        </is>
      </c>
      <c r="G46" s="6" t="n">
        <v>9.951547601019215</v>
      </c>
      <c r="H46" s="10" t="inlineStr">
        <is>
          <t>ALERTE</t>
        </is>
      </c>
      <c r="I46" s="6" t="inlineStr"/>
    </row>
    <row r="47">
      <c r="A47" s="6" t="inlineStr">
        <is>
          <t>Rivoli Avenir Patrimoine</t>
        </is>
      </c>
      <c r="B47" s="6" t="inlineStr">
        <is>
          <t>REPARTITION</t>
        </is>
      </c>
      <c r="C47" s="6" t="inlineStr">
        <is>
          <t>REP-002</t>
        </is>
      </c>
      <c r="D47" s="6" t="inlineStr">
        <is>
          <t>Somme répartition typologique = 100%</t>
        </is>
      </c>
      <c r="E47" s="6" t="inlineStr">
        <is>
          <t>88.4%</t>
        </is>
      </c>
      <c r="F47" s="6" t="inlineStr">
        <is>
          <t>100%</t>
        </is>
      </c>
      <c r="G47" s="6" t="n">
        <v>11.55591840995018</v>
      </c>
      <c r="H47" s="10" t="inlineStr">
        <is>
          <t>ALERTE</t>
        </is>
      </c>
      <c r="I47" s="6" t="inlineStr"/>
    </row>
    <row r="48">
      <c r="A48" s="6" t="inlineStr">
        <is>
          <t>Rivoli Avenir Patrimoine</t>
        </is>
      </c>
      <c r="B48" s="6" t="inlineStr">
        <is>
          <t>VALORISATION</t>
        </is>
      </c>
      <c r="C48" s="6" t="inlineStr">
        <is>
          <t>VAL-001</t>
        </is>
      </c>
      <c r="D48" s="6" t="inlineStr">
        <is>
          <t>Écart prix souscription vs valeur reconstitution</t>
        </is>
      </c>
      <c r="E48" s="6" t="inlineStr">
        <is>
          <t>328.00 €</t>
        </is>
      </c>
      <c r="F48" s="6" t="inlineStr">
        <is>
          <t>322.50 €</t>
        </is>
      </c>
      <c r="G48" s="6" t="n">
        <v>1.705426356589147</v>
      </c>
      <c r="H48" s="27" t="inlineStr">
        <is>
          <t>OK</t>
        </is>
      </c>
      <c r="I48" s="6" t="inlineStr"/>
    </row>
    <row r="49"/>
    <row r="50"/>
    <row r="51">
      <c r="A51" s="3" t="inlineStr">
        <is>
          <t>📈 RÉSUMÉ DES CONTRÔLES</t>
        </is>
      </c>
    </row>
    <row r="52">
      <c r="A52" t="inlineStr">
        <is>
          <t>✅ Tests OK:</t>
        </is>
      </c>
      <c r="B52" s="11" t="n">
        <v>23</v>
      </c>
    </row>
    <row r="53">
      <c r="A53" t="inlineStr">
        <is>
          <t>⚠️ Alertes:</t>
        </is>
      </c>
      <c r="B53" s="12" t="n">
        <v>17</v>
      </c>
    </row>
    <row r="54">
      <c r="A54" t="inlineStr">
        <is>
          <t>❌ Erreurs:</t>
        </is>
      </c>
      <c r="B54" s="13" t="n">
        <v>0</v>
      </c>
    </row>
    <row r="55">
      <c r="A55" t="inlineStr">
        <is>
          <t>ℹ️ Info:</t>
        </is>
      </c>
      <c r="B55" s="29" t="n">
        <v>5</v>
      </c>
    </row>
    <row r="56"/>
    <row r="57">
      <c r="A57" t="inlineStr">
        <is>
          <t>📊 Taux de conformité:</t>
        </is>
      </c>
      <c r="B57" s="3" t="inlineStr">
        <is>
          <t>51.1%</t>
        </is>
      </c>
    </row>
  </sheetData>
  <mergeCells count="2">
    <mergeCell ref="A1:I1"/>
    <mergeCell ref="A51:C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2026-01-11T18:11:47Z</dcterms:created>
  <dcterms:modified xmlns:dcterms="http://purl.org/dc/terms/" xmlns:xsi="http://www.w3.org/2001/XMLSchema-instance" xsi:type="dcterms:W3CDTF">2026-01-11T18:11:47Z</dcterms:modified>
</cp:coreProperties>
</file>